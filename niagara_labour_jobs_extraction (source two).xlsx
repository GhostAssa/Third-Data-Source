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abour_Annual" sheetId="2" state="visible" r:id="rId4"/>
    <sheet name="Labour_Quarterly" sheetId="3" state="visible" r:id="rId5"/>
    <sheet name="Jobs_by_Sector" sheetId="4" state="visible" r:id="rId6"/>
    <sheet name="Mfg_Jobs_by_Industry" sheetId="5" state="visible" r:id="rId7"/>
    <sheet name="Mfg_Businesses_2018" sheetId="6" state="visible" r:id="rId8"/>
    <sheet name="Business_Counts" sheetId="7" state="visible" r:id="rId9"/>
    <sheet name="Jobs_by_Municipality" sheetId="8" state="visible" r:id="rId10"/>
    <sheet name="Top3_Crosswalk"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<sst xmlns="http://schemas.openxmlformats.org/spreadsheetml/2006/main" count="314" uniqueCount="250">
  <si>
    <t xml:space="preserve">Niagara labour force and jobs: extraction from 5 source PDFs</t>
  </si>
  <si>
    <t xml:space="preserve">Prepared for the DataraFlow Founder Challenge 2026 (Niagara Succession Signal). Blue = value copied from a source; black = formula.</t>
  </si>
  <si>
    <t xml:space="preserve">Sources used</t>
  </si>
  <si>
    <t xml:space="preserve">ID</t>
  </si>
  <si>
    <t xml:space="preserve">Document</t>
  </si>
  <si>
    <t xml:space="preserve">Publisher</t>
  </si>
  <si>
    <t xml:space="preserve">What was extracted</t>
  </si>
  <si>
    <t xml:space="preserve">A</t>
  </si>
  <si>
    <t xml:space="preserve">Niagara Economic Update, April 2022</t>
  </si>
  <si>
    <t xml:space="preserve">Niagara Economic Development / Niagara Region</t>
  </si>
  <si>
    <t xml:space="preserve">Annual 2016-2021 CMA data: labour force, employment, unemployment, participation, employment by sector (2019 to 2021), business counts</t>
  </si>
  <si>
    <t xml:space="preserve">B</t>
  </si>
  <si>
    <t xml:space="preserve">Niagara Economic Update, October 2022</t>
  </si>
  <si>
    <t xml:space="preserve">Quarterly 2020Q1-2022Q2 labour data, employment by sector (Q2 2021 vs Q2 2022), business counts 2020-2022</t>
  </si>
  <si>
    <t xml:space="preserve">C</t>
  </si>
  <si>
    <t xml:space="preserve">Niagara Manufacturing Profile, April 2019 update</t>
  </si>
  <si>
    <t xml:space="preserve">Niagara Region / Niagara Canada</t>
  </si>
  <si>
    <t xml:space="preserve">Manufacturing jobs by industry 2015/2018, business counts by industry, top-30 employers by municipality (NEI 2017), jobs in the largest sectors in 2018</t>
  </si>
  <si>
    <t xml:space="preserve">D</t>
  </si>
  <si>
    <t xml:space="preserve">Niagara Canada Regional Profile (April 2018)</t>
  </si>
  <si>
    <t xml:space="preserve">Niagara Economic Development</t>
  </si>
  <si>
    <t xml:space="preserve">Workforce size and sector snapshots (manufacturing, agri-business, transportation and logistics, tourism)</t>
  </si>
  <si>
    <t xml:space="preserve">E</t>
  </si>
  <si>
    <t xml:space="preserve">Exploring Goods Movement and Export Diversification (59 pp.)</t>
  </si>
  <si>
    <t xml:space="preserve">Niagara-area report</t>
  </si>
  <si>
    <t xml:space="preserve">Firm survey only (201 firms). No job counts, so nothing was extracted into the tables.</t>
  </si>
  <si>
    <t xml:space="preserve">Sheet index</t>
  </si>
  <si>
    <t xml:space="preserve">Labour_Annual</t>
  </si>
  <si>
    <t xml:space="preserve">Labour force, employment, unemployment and participation, 2017-2021 (A)</t>
  </si>
  <si>
    <t xml:space="preserve">Labour_Quarterly</t>
  </si>
  <si>
    <t xml:space="preserve">Same indicators by quarter, 2020Q1-2022Q2 (B)</t>
  </si>
  <si>
    <t xml:space="preserve">Jobs_by_Sector</t>
  </si>
  <si>
    <t xml:space="preserve">Employment by sector: Q2 2021 vs Q2 2022 (B); % change 2019-2021 (A); jobs in 2018 (C); sector snapshots (D)</t>
  </si>
  <si>
    <t xml:space="preserve">Mfg_Jobs_by_Industry</t>
  </si>
  <si>
    <t xml:space="preserve">Manufacturing jobs by NAICS industry, 2015 vs 2018, and top-20 growth 2011-2018 (C)</t>
  </si>
  <si>
    <t xml:space="preserve">Mfg_Businesses_2018</t>
  </si>
  <si>
    <t xml:space="preserve">Manufacturing businesses by industry: employers, non-employers, size band (C)</t>
  </si>
  <si>
    <t xml:space="preserve">Business_Counts</t>
  </si>
  <si>
    <t xml:space="preserve">Employer and non-employer business counts, 2016-2022 (A, B)</t>
  </si>
  <si>
    <t xml:space="preserve">Jobs_by_Municipality</t>
  </si>
  <si>
    <t xml:space="preserve">Top-30 manufacturing employers aggregated by municipality, NEI 2017 (C)</t>
  </si>
  <si>
    <t xml:space="preserve">Top3_Crosswalk</t>
  </si>
  <si>
    <t xml:space="preserve">Your three NEI sectors lined up against every published jobs figure</t>
  </si>
  <si>
    <t xml:space="preserve">What these PDFs do NOT contain</t>
  </si>
  <si>
    <t xml:space="preserve">- Monthly data: the finest frequency published is quarterly (2020Q1-2022Q2). Monthly figures need Statistics Canada Table 14-10-0380-01 or the Region's labour market insights.</t>
  </si>
  <si>
    <t xml:space="preserve">- A full jobs-by-municipality table: none of the five PDFs has one. The only municipal split is the top-30 manufacturing employers (Jobs_by_Municipality), which covers a small slice of jobs. Use your NEI file for municipal counts.</t>
  </si>
  <si>
    <t xml:space="preserve">- Company names were deliberately left out of the municipal sheet. The challenge rules (Section 6.3) require aggregate-only outputs.</t>
  </si>
  <si>
    <t xml:space="preserve">Data-quality flags (read before merging)</t>
  </si>
  <si>
    <t xml:space="preserve">- Participation rate low, April 2022 report: text says 56.0% but the chart label for 2020 is 56.9%. Chart values are used here.</t>
  </si>
  <si>
    <t xml:space="preserve">- Participation rate, October 2022 report: text says the low was 55.2% in 'Q2 2022', but the chart shows that value in 2020Q2 (a typo in the text). Chart values are used.</t>
  </si>
  <si>
    <t xml:space="preserve">- Annual (A, Table 14-10-0385-01) and quarterly seasonally adjusted (B, Table 14-10-0380-01) labour series come from different StatCan tables and are not directly comparable.</t>
  </si>
  <si>
    <t xml:space="preserve">- Labour Force Survey sector estimates for a CMA are small-sample and noisy. Example: manufacturing is +36.8% for 2019-2021 in A but falls from 25.7k to 20.6k between Q2 2021 and Q2 2022 in B. Report both and avoid over-reading single sectors.</t>
  </si>
  <si>
    <t xml:space="preserve">- Geography differs: labour data is the St. Catharines-Niagara CMA; business counts are labelled 'Niagara Region' in A and 'Niagara CMA' in B; the manufacturing profile uses the Region.</t>
  </si>
  <si>
    <t xml:space="preserve">- Manufacturing jobs differ by source and year: 18,791 (EMSI 2018, source C) vs about 17,000 (source D). Manufacturing businesses: 628 employers plus 502 non-employers in C (1,130 total); 620 in D.</t>
  </si>
  <si>
    <t xml:space="preserve">- 'Wholesale, retail trade' in the labour data is not the same as NEI 'Retail trade'. Treat the crosswalk as indicative, not like-for-like.</t>
  </si>
  <si>
    <t xml:space="preserve">Labour market indicators, St. Catharines-Niagara CMA, annual</t>
  </si>
  <si>
    <t xml:space="preserve">Source A: Niagara Economic Update April 2022 (Statistics Canada Table 14-10-0385-01). Units: thousands of people unless stated.</t>
  </si>
  <si>
    <t xml:space="preserve">Year</t>
  </si>
  <si>
    <t xml:space="preserve">Labour force (000)</t>
  </si>
  <si>
    <t xml:space="preserve">Employment (000)</t>
  </si>
  <si>
    <t xml:space="preserve">Unemployed (000) = LF - employment</t>
  </si>
  <si>
    <t xml:space="preserve">Unemployment rate (%) reported</t>
  </si>
  <si>
    <t xml:space="preserve">Participation rate (%) reported</t>
  </si>
  <si>
    <t xml:space="preserve">Employment change vs prior year (000)</t>
  </si>
  <si>
    <t xml:space="preserve">n/a</t>
  </si>
  <si>
    <t xml:space="preserve">Check: unemployed / labour force reproduces the reported rate (e.g. 2019: 12.6 / 216.9 = 5.8%). Participation 2020 uses the chart label (56.9), not the text (56.0).</t>
  </si>
  <si>
    <t xml:space="preserve">Labour market indicators, St. Catharines-Niagara CMA, quarterly (seasonally adjusted)</t>
  </si>
  <si>
    <t xml:space="preserve">Source B: Niagara Economic Update October 2022 (Statistics Canada Table 14-10-0380-01). Thousands unless stated.</t>
  </si>
  <si>
    <t xml:space="preserve">Quarter</t>
  </si>
  <si>
    <t xml:space="preserve">Employment change vs prior quarter (000)</t>
  </si>
  <si>
    <t xml:space="preserve">2020 Q1</t>
  </si>
  <si>
    <t xml:space="preserve">2020 Q2</t>
  </si>
  <si>
    <t xml:space="preserve">2020 Q3</t>
  </si>
  <si>
    <t xml:space="preserve">2020 Q4</t>
  </si>
  <si>
    <t xml:space="preserve">2021 Q1</t>
  </si>
  <si>
    <t xml:space="preserve">2021 Q2</t>
  </si>
  <si>
    <t xml:space="preserve">2021 Q3</t>
  </si>
  <si>
    <t xml:space="preserve">2021 Q4</t>
  </si>
  <si>
    <t xml:space="preserve">2022 Q1</t>
  </si>
  <si>
    <t xml:space="preserve">2022 Q2</t>
  </si>
  <si>
    <t xml:space="preserve">Check: 2022 Q2 unemployed 12.0 / 242.7 = 4.9%, matching the reported rate. Participation 2020 Q2 (55.2%) is the true low; the report text misdates it as Q2 2022.</t>
  </si>
  <si>
    <t xml:space="preserve">Employment by sector</t>
  </si>
  <si>
    <t xml:space="preserve">Tables A, B, C, D come from different sources and years. Do not add across tables.</t>
  </si>
  <si>
    <t xml:space="preserve">Table A. Employment by sector, Niagara CMA, Q2 2021 vs Q2 2022 (source B, StatCan 14-10-0379-01)</t>
  </si>
  <si>
    <t xml:space="preserve">Sector</t>
  </si>
  <si>
    <t xml:space="preserve">Q2 2021 (000)</t>
  </si>
  <si>
    <t xml:space="preserve">Q2 2022 (000)</t>
  </si>
  <si>
    <t xml:space="preserve">Change (000)</t>
  </si>
  <si>
    <t xml:space="preserve">Change (%)</t>
  </si>
  <si>
    <t xml:space="preserve">Agriculture</t>
  </si>
  <si>
    <t xml:space="preserve">Construction</t>
  </si>
  <si>
    <t xml:space="preserve">Manufacturing</t>
  </si>
  <si>
    <t xml:space="preserve">Wholesale, retail trade</t>
  </si>
  <si>
    <t xml:space="preserve">Transportation, warehousing</t>
  </si>
  <si>
    <t xml:space="preserve">Finance, insurance, real estate</t>
  </si>
  <si>
    <t xml:space="preserve">Professional, scientific, technical</t>
  </si>
  <si>
    <t xml:space="preserve">Business, building, support services</t>
  </si>
  <si>
    <t xml:space="preserve">Educational services</t>
  </si>
  <si>
    <t xml:space="preserve">Health care, social assistance</t>
  </si>
  <si>
    <t xml:space="preserve">Information, culture, recreation</t>
  </si>
  <si>
    <t xml:space="preserve">Accommodation, food services</t>
  </si>
  <si>
    <t xml:space="preserve">Other services</t>
  </si>
  <si>
    <t xml:space="preserve">Public administration</t>
  </si>
  <si>
    <t xml:space="preserve">Chart values mapped to sectors and verified against the text (e.g. professional/scientific/technical +8.6k, construction +7.0k, information/culture/recreation +5.9k, health +5.1k, finance/insurance/real estate +4.5k).</t>
  </si>
  <si>
    <t xml:space="preserve">Table B. Employment change by sector, 2019 to 2021, Niagara CMA (source A, StatCan 14-10-0384-01)</t>
  </si>
  <si>
    <t xml:space="preserve">Employment change 2019 to 2021 (%)</t>
  </si>
  <si>
    <t xml:space="preserve">Forestry, fishing, quarrying, oil, gas</t>
  </si>
  <si>
    <t xml:space="preserve">Professional, scientific, technical services</t>
  </si>
  <si>
    <t xml:space="preserve">Utilities</t>
  </si>
  <si>
    <t xml:space="preserve">Sorted from largest gain to largest loss. The three NEI top sectors are in rows for Accommodation/food, Wholesale/retail and Other services.</t>
  </si>
  <si>
    <t xml:space="preserve">Table C. Jobs in the four largest sectors, 2018 (source C, EMSI Analyst 2018)</t>
  </si>
  <si>
    <t xml:space="preserve">Jobs, Niagara Region, 2018</t>
  </si>
  <si>
    <t xml:space="preserve">Note</t>
  </si>
  <si>
    <t xml:space="preserve">Retail trade</t>
  </si>
  <si>
    <t xml:space="preserve">Largest of the four</t>
  </si>
  <si>
    <t xml:space="preserve">Accommodation and food services</t>
  </si>
  <si>
    <t xml:space="preserve">Health care and social assistance</t>
  </si>
  <si>
    <t xml:space="preserve">Fourth largest; 8.5% of all jobs, 2.8% of businesses</t>
  </si>
  <si>
    <t xml:space="preserve">Only these four sectors were published. 'Other services' is not reported.</t>
  </si>
  <si>
    <t xml:space="preserve">Table D. Sector snapshots (source D, Regional Profile, April 2018)</t>
  </si>
  <si>
    <t xml:space="preserve">Jobs (approx.)</t>
  </si>
  <si>
    <t xml:space="preserve">Businesses</t>
  </si>
  <si>
    <t xml:space="preserve">Tourism</t>
  </si>
  <si>
    <t xml:space="preserve">Jobs within the tourism sector; 12,666,900 visitors a year</t>
  </si>
  <si>
    <t xml:space="preserve">Agri-business</t>
  </si>
  <si>
    <t xml:space="preserve">'20,000+' jobs; 1,800+ farms</t>
  </si>
  <si>
    <t xml:space="preserve">About 17,000 employed (differs from 18,791 in Table C)</t>
  </si>
  <si>
    <t xml:space="preserve">Transportation and logistics</t>
  </si>
  <si>
    <t xml:space="preserve">'12,500+' employed plus 989 self-employed</t>
  </si>
  <si>
    <t xml:space="preserve">Marketing snapshot with overlapping sectors (tourism spans accommodation, food and retail). Use for context only. Total workforce reported: 229,000+.</t>
  </si>
  <si>
    <t xml:space="preserve">Manufacturing jobs by industry, Niagara Region</t>
  </si>
  <si>
    <t xml:space="preserve">Source C: Niagara Manufacturing Profile (EMSI Analyst, Q1 2018). PLQ/NLQ = location quotient vs Ontario / Canada (above 1 = more concentrated).</t>
  </si>
  <si>
    <t xml:space="preserve">Table A. Manufacturing jobs by industry, 2015 vs 2018</t>
  </si>
  <si>
    <t xml:space="preserve">Industry (NAICS 3-digit)</t>
  </si>
  <si>
    <t xml:space="preserve">Jobs 2015</t>
  </si>
  <si>
    <t xml:space="preserve">Jobs 2018</t>
  </si>
  <si>
    <t xml:space="preserve">Change</t>
  </si>
  <si>
    <t xml:space="preserve">PLQ</t>
  </si>
  <si>
    <t xml:space="preserve">NLQ</t>
  </si>
  <si>
    <t xml:space="preserve">336 Transportation equipment</t>
  </si>
  <si>
    <t xml:space="preserve">332 Fabricated metal products</t>
  </si>
  <si>
    <t xml:space="preserve">312 Beverage</t>
  </si>
  <si>
    <t xml:space="preserve">333 Machinery</t>
  </si>
  <si>
    <t xml:space="preserve">311 Food</t>
  </si>
  <si>
    <t xml:space="preserve">327 Non-metallic mineral products</t>
  </si>
  <si>
    <t xml:space="preserve">326 Plastics and rubber products</t>
  </si>
  <si>
    <t xml:space="preserve">325 Chemicals</t>
  </si>
  <si>
    <t xml:space="preserve">331 Primary metal</t>
  </si>
  <si>
    <t xml:space="preserve">339 Miscellaneous</t>
  </si>
  <si>
    <t xml:space="preserve">334 Computer and electronic products</t>
  </si>
  <si>
    <t xml:space="preserve">323 Printing and related support activities</t>
  </si>
  <si>
    <t xml:space="preserve">321 Wood products</t>
  </si>
  <si>
    <t xml:space="preserve">322 Paper</t>
  </si>
  <si>
    <t xml:space="preserve">337 Furniture and related products</t>
  </si>
  <si>
    <t xml:space="preserve">313 Textile mills</t>
  </si>
  <si>
    <t xml:space="preserve">314 Textile product mills</t>
  </si>
  <si>
    <t xml:space="preserve">335 Electrical equipment and appliances</t>
  </si>
  <si>
    <t xml:space="preserve">316 Leather and allied products</t>
  </si>
  <si>
    <t xml:space="preserve">315 Clothing</t>
  </si>
  <si>
    <t xml:space="preserve">324 Petroleum and coal products</t>
  </si>
  <si>
    <t xml:space="preserve">Total (sum of industries)</t>
  </si>
  <si>
    <t xml:space="preserve">Reported totals: 18,319 (2015) and 18,791 (2018), +2.6%. The sums above reproduce them.</t>
  </si>
  <si>
    <t xml:space="preserve">Table B. Top 20 manufacturing industries by job growth, 2011 to 2018 (EMSI Analyst, Q3 2018)</t>
  </si>
  <si>
    <t xml:space="preserve">Industry (NAICS 4-digit)</t>
  </si>
  <si>
    <t xml:space="preserve">Jobs 2011</t>
  </si>
  <si>
    <t xml:space="preserve">3121 Beverage</t>
  </si>
  <si>
    <t xml:space="preserve">3361 Motor vehicle</t>
  </si>
  <si>
    <t xml:space="preserve">3323 Architectural and structural metals</t>
  </si>
  <si>
    <t xml:space="preserve">3339 Other general purpose machinery</t>
  </si>
  <si>
    <t xml:space="preserve">3272 Glass and glass product</t>
  </si>
  <si>
    <t xml:space="preserve">3335 Metalworking machinery</t>
  </si>
  <si>
    <t xml:space="preserve">3399 Other miscellaneous (jewellery, signs, toys)</t>
  </si>
  <si>
    <t xml:space="preserve">3261 Plastic product</t>
  </si>
  <si>
    <t xml:space="preserve">3328 Coating, engraving, heat treating</t>
  </si>
  <si>
    <t xml:space="preserve">3312 Steel product from purchased steel</t>
  </si>
  <si>
    <t xml:space="preserve">3259 Other chemical product</t>
  </si>
  <si>
    <t xml:space="preserve">3262 Rubber product</t>
  </si>
  <si>
    <t xml:space="preserve">3273 Cement and concrete product</t>
  </si>
  <si>
    <t xml:space="preserve">3341 Computer and peripheral equipment</t>
  </si>
  <si>
    <t xml:space="preserve">3212 Veneer, plywood, engineered wood</t>
  </si>
  <si>
    <t xml:space="preserve">3132 Fabric mills</t>
  </si>
  <si>
    <t xml:space="preserve">3253 Pesticide, fertilizer, agricultural chemical</t>
  </si>
  <si>
    <t xml:space="preserve">3255 Paint, coating and adhesive</t>
  </si>
  <si>
    <t xml:space="preserve">3322 Cutlery and hand tool</t>
  </si>
  <si>
    <t xml:space="preserve">3118 Bakeries and tortilla</t>
  </si>
  <si>
    <t xml:space="preserve">Manufacturing businesses by industry, Niagara Region, June 2018</t>
  </si>
  <si>
    <t xml:space="preserve">Source C: Statistics Canada, Canadian Business Counts (Location Counts), June 2018. Size bands are number of employees.</t>
  </si>
  <si>
    <t xml:space="preserve">Non-employer businesses</t>
  </si>
  <si>
    <t xml:space="preserve">Employer businesses</t>
  </si>
  <si>
    <t xml:space="preserve">All businesses</t>
  </si>
  <si>
    <t xml:space="preserve">Employer share (%)</t>
  </si>
  <si>
    <t xml:space="preserve">1-9 employees</t>
  </si>
  <si>
    <t xml:space="preserve">10-49 employees</t>
  </si>
  <si>
    <t xml:space="preserve">50-99 employees</t>
  </si>
  <si>
    <t xml:space="preserve">100+ employees</t>
  </si>
  <si>
    <t xml:space="preserve">339 Miscellaneous products</t>
  </si>
  <si>
    <t xml:space="preserve">323 Printing and related support</t>
  </si>
  <si>
    <t xml:space="preserve">Reported totals: 502 non-employers, 628 employers (318 / 217 / 62 / 31 by size band). The sums reproduce them.</t>
  </si>
  <si>
    <t xml:space="preserve">Business counts, Niagara (employer and non-employer)</t>
  </si>
  <si>
    <t xml:space="preserve">Sources: A (2016-2021, Canadian Business Counts) and B (2020-2022, June 2022). 2020-2021 agree across both reports.</t>
  </si>
  <si>
    <t xml:space="preserve">With employees</t>
  </si>
  <si>
    <t xml:space="preserve">No employees</t>
  </si>
  <si>
    <t xml:space="preserve">Total</t>
  </si>
  <si>
    <t xml:space="preserve">Employer change vs prior year</t>
  </si>
  <si>
    <t xml:space="preserve">Employer change (%)</t>
  </si>
  <si>
    <t xml:space="preserve">Non-employer change vs prior year</t>
  </si>
  <si>
    <t xml:space="preserve">Reports state a net loss of 388 employer businesses in 2021 and gains of 432 (employers) and 603 (non-employers) in 2022. Formulas reproduce these.</t>
  </si>
  <si>
    <t xml:space="preserve">Jobs at the 30 largest manufacturing employers, by municipality (NEI 2017)</t>
  </si>
  <si>
    <t xml:space="preserve">Source C, page 10 (Niagara Employment Inventory, 2017). Aggregated: company names omitted. Covers only the top-30 manufacturers, not all jobs.</t>
  </si>
  <si>
    <t xml:space="preserve">Municipality</t>
  </si>
  <si>
    <t xml:space="preserve">Employers among the top 30</t>
  </si>
  <si>
    <t xml:space="preserve">Employees at those employers</t>
  </si>
  <si>
    <t xml:space="preserve">Average employees per employer</t>
  </si>
  <si>
    <t xml:space="preserve">Share of top-30 employees (%)</t>
  </si>
  <si>
    <t xml:space="preserve">St. Catharines</t>
  </si>
  <si>
    <t xml:space="preserve">Niagara Falls</t>
  </si>
  <si>
    <t xml:space="preserve">Fort Erie</t>
  </si>
  <si>
    <t xml:space="preserve">Port Colborne</t>
  </si>
  <si>
    <t xml:space="preserve">Welland</t>
  </si>
  <si>
    <t xml:space="preserve">West Lincoln</t>
  </si>
  <si>
    <t xml:space="preserve">Grimsby</t>
  </si>
  <si>
    <t xml:space="preserve">Lincoln</t>
  </si>
  <si>
    <t xml:space="preserve">Thorold</t>
  </si>
  <si>
    <t xml:space="preserve">Niagara Falls / Welland (one employer, shared)</t>
  </si>
  <si>
    <t xml:space="preserve">Check: the report lists 30 employers; the shared employer is counted in its own row, so the total here is 30.</t>
  </si>
  <si>
    <t xml:space="preserve">Caution: St. Catharines is dominated by a single employer of 1,445 people, so its share says little about the typical firm.</t>
  </si>
  <si>
    <t xml:space="preserve">Goods movement report (source E): survey of 201 firms; St. Catharines is the largest single municipal group of respondents. It publishes no job counts.</t>
  </si>
  <si>
    <t xml:space="preserve">Your three NEI top sectors against every published jobs figure</t>
  </si>
  <si>
    <t xml:space="preserve">NEI figures are from your own 2025 aggregate (Niagara Falls only). The rest are from the source PDFs. Indicative, not like-for-like.</t>
  </si>
  <si>
    <t xml:space="preserve">Metric</t>
  </si>
  <si>
    <t xml:space="preserve">Source / note</t>
  </si>
  <si>
    <t xml:space="preserve">NEI 2025 businesses, Niagara Falls only (your aggregate CSV)</t>
  </si>
  <si>
    <t xml:space="preserve">Your analysis; 2025 file covers Niagara Falls only</t>
  </si>
  <si>
    <t xml:space="preserve">NEI 2025 jobs proxy, Niagara Falls only (size-band midpoints)</t>
  </si>
  <si>
    <t xml:space="preserve">Your analysis; proxy, 33.7% of size bands missing</t>
  </si>
  <si>
    <t xml:space="preserve">Jobs 2018, Niagara Region (EMSI)</t>
  </si>
  <si>
    <t xml:space="preserve">Source C; 'Other services' not published</t>
  </si>
  <si>
    <t xml:space="preserve">Employment Q2 2021 (000), Niagara CMA</t>
  </si>
  <si>
    <t xml:space="preserve">Source B; retail column is 'Wholesale, retail trade'</t>
  </si>
  <si>
    <t xml:space="preserve">Employment Q2 2022 (000), Niagara CMA</t>
  </si>
  <si>
    <t xml:space="preserve">Source B</t>
  </si>
  <si>
    <t xml:space="preserve">Employment change Q2 2021 to Q2 2022 (000)</t>
  </si>
  <si>
    <t xml:space="preserve">Formula</t>
  </si>
  <si>
    <t xml:space="preserve">Employment change Q2 2021 to Q2 2022 (%)</t>
  </si>
  <si>
    <t xml:space="preserve">Source A</t>
  </si>
  <si>
    <t xml:space="preserve">Real GDP change 2019 to 2021 (%)</t>
  </si>
  <si>
    <t xml:space="preserve">Source A (Conference Board of Canada)</t>
  </si>
  <si>
    <t xml:space="preserve">Real GDP growth Q2 2021 to Q2 2022 (%), as reported in text</t>
  </si>
  <si>
    <t xml:space="preserve">Source B; retail not reported separately</t>
  </si>
  <si>
    <t xml:space="preserve">Reading: accommodation and food services fell hardest in 2019-2021 (jobs and GDP) and rebounded fastest since, which is why its exposure looks volatile. Retail trade is the steadier large employer. Other services is the smallest of the three, so it needs pooling before any municipal split.</t>
  </si>
</sst>
</file>

<file path=xl/styles.xml><?xml version="1.0" encoding="utf-8"?>
<styleSheet xmlns="http://schemas.openxmlformats.org/spreadsheetml/2006/main">
  <numFmts count="5">
    <numFmt numFmtId="164" formatCode="General"/>
    <numFmt numFmtId="165" formatCode="#,##0.0;\(#,##0.0\);\-"/>
    <numFmt numFmtId="166" formatCode="0.0\%;\(0.0&quot;%)&quot;;\-"/>
    <numFmt numFmtId="167" formatCode="#,##0;\(#,##0\);\-"/>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color rgb="FF595959"/>
      <name val="Arial"/>
      <family val="0"/>
      <charset val="1"/>
    </font>
    <font>
      <b val="true"/>
      <sz val="11"/>
      <color rgb="FF1F3A5F"/>
      <name val="Arial"/>
      <family val="0"/>
      <charset val="1"/>
    </font>
    <font>
      <b val="true"/>
      <sz val="10"/>
      <color rgb="FFFFFFFF"/>
      <name val="Arial"/>
      <family val="0"/>
      <charset val="1"/>
    </font>
    <font>
      <sz val="10"/>
      <color rgb="FF000000"/>
      <name val="Arial"/>
      <family val="0"/>
      <charset val="1"/>
    </font>
    <font>
      <b val="true"/>
      <sz val="10"/>
      <name val="Arial"/>
      <family val="0"/>
      <charset val="1"/>
    </font>
    <font>
      <sz val="10"/>
      <name val="Arial"/>
      <family val="0"/>
      <charset val="1"/>
    </font>
    <font>
      <sz val="10"/>
      <color rgb="FF0000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38"/>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23.85" hidden="false" customHeight="false" outlineLevel="0" collapsed="false">
      <c r="A6" s="5" t="s">
        <v>7</v>
      </c>
      <c r="B6" s="5" t="s">
        <v>8</v>
      </c>
      <c r="C6" s="5" t="s">
        <v>9</v>
      </c>
      <c r="D6" s="5" t="s">
        <v>10</v>
      </c>
    </row>
    <row r="7" customFormat="false" ht="23.85" hidden="false" customHeight="false" outlineLevel="0" collapsed="false">
      <c r="A7" s="5" t="s">
        <v>11</v>
      </c>
      <c r="B7" s="5" t="s">
        <v>12</v>
      </c>
      <c r="C7" s="5" t="s">
        <v>9</v>
      </c>
      <c r="D7" s="5" t="s">
        <v>13</v>
      </c>
    </row>
    <row r="8" customFormat="false" ht="23.85" hidden="false" customHeight="false" outlineLevel="0" collapsed="false">
      <c r="A8" s="5" t="s">
        <v>14</v>
      </c>
      <c r="B8" s="5" t="s">
        <v>15</v>
      </c>
      <c r="C8" s="5" t="s">
        <v>16</v>
      </c>
      <c r="D8" s="5" t="s">
        <v>17</v>
      </c>
    </row>
    <row r="9" customFormat="false" ht="23.85" hidden="false" customHeight="false" outlineLevel="0" collapsed="false">
      <c r="A9" s="5" t="s">
        <v>18</v>
      </c>
      <c r="B9" s="5" t="s">
        <v>19</v>
      </c>
      <c r="C9" s="5" t="s">
        <v>20</v>
      </c>
      <c r="D9" s="5" t="s">
        <v>21</v>
      </c>
    </row>
    <row r="10" customFormat="false" ht="15" hidden="false" customHeight="false" outlineLevel="0" collapsed="false">
      <c r="A10" s="5" t="s">
        <v>22</v>
      </c>
      <c r="B10" s="5" t="s">
        <v>23</v>
      </c>
      <c r="C10" s="5" t="s">
        <v>24</v>
      </c>
      <c r="D10" s="5" t="s">
        <v>25</v>
      </c>
    </row>
    <row r="12" customFormat="false" ht="15" hidden="false" customHeight="false" outlineLevel="0" collapsed="false">
      <c r="A12" s="3" t="s">
        <v>26</v>
      </c>
    </row>
    <row r="13" customFormat="false" ht="15" hidden="false" customHeight="false" outlineLevel="0" collapsed="false">
      <c r="A13" s="6" t="s">
        <v>27</v>
      </c>
      <c r="B13" s="7" t="s">
        <v>28</v>
      </c>
    </row>
    <row r="14" customFormat="false" ht="15" hidden="false" customHeight="false" outlineLevel="0" collapsed="false">
      <c r="A14" s="6" t="s">
        <v>29</v>
      </c>
      <c r="B14" s="7" t="s">
        <v>30</v>
      </c>
    </row>
    <row r="15" customFormat="false" ht="15" hidden="false" customHeight="false" outlineLevel="0" collapsed="false">
      <c r="A15" s="6" t="s">
        <v>31</v>
      </c>
      <c r="B15" s="7" t="s">
        <v>32</v>
      </c>
    </row>
    <row r="16" customFormat="false" ht="15" hidden="false" customHeight="false" outlineLevel="0" collapsed="false">
      <c r="A16" s="6" t="s">
        <v>33</v>
      </c>
      <c r="B16" s="7" t="s">
        <v>34</v>
      </c>
    </row>
    <row r="17" customFormat="false" ht="15" hidden="false" customHeight="false" outlineLevel="0" collapsed="false">
      <c r="A17" s="6" t="s">
        <v>35</v>
      </c>
      <c r="B17" s="7" t="s">
        <v>36</v>
      </c>
    </row>
    <row r="18" customFormat="false" ht="15" hidden="false" customHeight="false" outlineLevel="0" collapsed="false">
      <c r="A18" s="6" t="s">
        <v>37</v>
      </c>
      <c r="B18" s="7" t="s">
        <v>38</v>
      </c>
    </row>
    <row r="19" customFormat="false" ht="15" hidden="false" customHeight="false" outlineLevel="0" collapsed="false">
      <c r="A19" s="6" t="s">
        <v>39</v>
      </c>
      <c r="B19" s="7" t="s">
        <v>40</v>
      </c>
    </row>
    <row r="20" customFormat="false" ht="15" hidden="false" customHeight="false" outlineLevel="0" collapsed="false">
      <c r="A20" s="6" t="s">
        <v>41</v>
      </c>
      <c r="B20" s="7" t="s">
        <v>42</v>
      </c>
    </row>
    <row r="22" customFormat="false" ht="15" hidden="false" customHeight="false" outlineLevel="0" collapsed="false">
      <c r="A22" s="3" t="s">
        <v>43</v>
      </c>
    </row>
    <row r="23" customFormat="false" ht="30" hidden="false" customHeight="true" outlineLevel="0" collapsed="false">
      <c r="A23" s="8" t="s">
        <v>44</v>
      </c>
      <c r="B23" s="8"/>
      <c r="C23" s="8"/>
      <c r="D23" s="8"/>
    </row>
    <row r="24" customFormat="false" ht="30" hidden="false" customHeight="true" outlineLevel="0" collapsed="false">
      <c r="A24" s="8" t="s">
        <v>45</v>
      </c>
      <c r="B24" s="8"/>
      <c r="C24" s="8"/>
      <c r="D24" s="8"/>
    </row>
    <row r="25" customFormat="false" ht="30" hidden="false" customHeight="true" outlineLevel="0" collapsed="false">
      <c r="A25" s="8" t="s">
        <v>46</v>
      </c>
      <c r="B25" s="8"/>
      <c r="C25" s="8"/>
      <c r="D25" s="8"/>
    </row>
    <row r="27" customFormat="false" ht="15" hidden="false" customHeight="false" outlineLevel="0" collapsed="false">
      <c r="A27" s="3" t="s">
        <v>47</v>
      </c>
    </row>
    <row r="28" customFormat="false" ht="42" hidden="false" customHeight="true" outlineLevel="0" collapsed="false">
      <c r="A28" s="9" t="s">
        <v>48</v>
      </c>
      <c r="B28" s="9"/>
      <c r="C28" s="9"/>
      <c r="D28" s="9"/>
    </row>
    <row r="29" customFormat="false" ht="42" hidden="false" customHeight="true" outlineLevel="0" collapsed="false">
      <c r="A29" s="9" t="s">
        <v>49</v>
      </c>
      <c r="B29" s="9"/>
      <c r="C29" s="9"/>
      <c r="D29" s="9"/>
    </row>
    <row r="30" customFormat="false" ht="42" hidden="false" customHeight="true" outlineLevel="0" collapsed="false">
      <c r="A30" s="9" t="s">
        <v>50</v>
      </c>
      <c r="B30" s="9"/>
      <c r="C30" s="9"/>
      <c r="D30" s="9"/>
    </row>
    <row r="31" customFormat="false" ht="42" hidden="false" customHeight="true" outlineLevel="0" collapsed="false">
      <c r="A31" s="9" t="s">
        <v>51</v>
      </c>
      <c r="B31" s="9"/>
      <c r="C31" s="9"/>
      <c r="D31" s="9"/>
    </row>
    <row r="32" customFormat="false" ht="42" hidden="false" customHeight="true" outlineLevel="0" collapsed="false">
      <c r="A32" s="9" t="s">
        <v>52</v>
      </c>
      <c r="B32" s="9"/>
      <c r="C32" s="9"/>
      <c r="D32" s="9"/>
    </row>
    <row r="33" customFormat="false" ht="42" hidden="false" customHeight="true" outlineLevel="0" collapsed="false">
      <c r="A33" s="9" t="s">
        <v>53</v>
      </c>
      <c r="B33" s="9"/>
      <c r="C33" s="9"/>
      <c r="D33" s="9"/>
    </row>
    <row r="34" customFormat="false" ht="42" hidden="false" customHeight="true" outlineLevel="0" collapsed="false">
      <c r="A34" s="9" t="s">
        <v>54</v>
      </c>
      <c r="B34" s="9"/>
      <c r="C34" s="9"/>
      <c r="D34" s="9"/>
    </row>
  </sheetData>
  <mergeCells count="10">
    <mergeCell ref="A23:D23"/>
    <mergeCell ref="A24:D24"/>
    <mergeCell ref="A25:D25"/>
    <mergeCell ref="A28:D28"/>
    <mergeCell ref="A29:D29"/>
    <mergeCell ref="A30:D30"/>
    <mergeCell ref="A31:D31"/>
    <mergeCell ref="A32:D32"/>
    <mergeCell ref="A33:D33"/>
    <mergeCell ref="A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8"/>
    <col collapsed="false" customWidth="true" hidden="false" outlineLevel="0" max="4" min="4" style="0" width="26"/>
    <col collapsed="false" customWidth="true" hidden="false" outlineLevel="0" max="6" min="5" style="0" width="22"/>
    <col collapsed="false" customWidth="true" hidden="false" outlineLevel="0" max="7" min="7" style="0" width="26"/>
  </cols>
  <sheetData>
    <row r="1" customFormat="false" ht="17.35" hidden="false" customHeight="false" outlineLevel="0" collapsed="false">
      <c r="A1" s="1" t="s">
        <v>55</v>
      </c>
    </row>
    <row r="2" customFormat="false" ht="15" hidden="false" customHeight="false" outlineLevel="0" collapsed="false">
      <c r="A2" s="2" t="s">
        <v>56</v>
      </c>
    </row>
    <row r="4" customFormat="false" ht="45" hidden="false" customHeight="true" outlineLevel="0" collapsed="false">
      <c r="A4" s="10" t="s">
        <v>57</v>
      </c>
      <c r="B4" s="10" t="s">
        <v>58</v>
      </c>
      <c r="C4" s="10" t="s">
        <v>59</v>
      </c>
      <c r="D4" s="10" t="s">
        <v>60</v>
      </c>
      <c r="E4" s="10" t="s">
        <v>61</v>
      </c>
      <c r="F4" s="10" t="s">
        <v>62</v>
      </c>
      <c r="G4" s="10" t="s">
        <v>63</v>
      </c>
    </row>
    <row r="5" customFormat="false" ht="15" hidden="false" customHeight="false" outlineLevel="0" collapsed="false">
      <c r="A5" s="11" t="n">
        <v>2017</v>
      </c>
      <c r="B5" s="12" t="n">
        <v>215.2</v>
      </c>
      <c r="C5" s="12" t="n">
        <v>200.8</v>
      </c>
      <c r="D5" s="13" t="n">
        <f aca="false">B5-C5</f>
        <v>14.4</v>
      </c>
      <c r="E5" s="12" t="n">
        <v>6.7</v>
      </c>
      <c r="F5" s="12" t="n">
        <v>60.5</v>
      </c>
      <c r="G5" s="14" t="s">
        <v>64</v>
      </c>
    </row>
    <row r="6" customFormat="false" ht="15" hidden="false" customHeight="false" outlineLevel="0" collapsed="false">
      <c r="A6" s="11" t="n">
        <v>2018</v>
      </c>
      <c r="B6" s="12" t="n">
        <v>220.4</v>
      </c>
      <c r="C6" s="12" t="n">
        <v>205.7</v>
      </c>
      <c r="D6" s="13" t="n">
        <f aca="false">B6-C6</f>
        <v>14.7</v>
      </c>
      <c r="E6" s="12" t="n">
        <v>6.7</v>
      </c>
      <c r="F6" s="12" t="n">
        <v>61</v>
      </c>
      <c r="G6" s="13" t="n">
        <f aca="false">C6-C5</f>
        <v>4.89999999999998</v>
      </c>
    </row>
    <row r="7" customFormat="false" ht="15" hidden="false" customHeight="false" outlineLevel="0" collapsed="false">
      <c r="A7" s="11" t="n">
        <v>2019</v>
      </c>
      <c r="B7" s="12" t="n">
        <v>216.9</v>
      </c>
      <c r="C7" s="12" t="n">
        <v>204.3</v>
      </c>
      <c r="D7" s="13" t="n">
        <f aca="false">B7-C7</f>
        <v>12.6</v>
      </c>
      <c r="E7" s="12" t="n">
        <v>5.8</v>
      </c>
      <c r="F7" s="12" t="n">
        <v>59.1</v>
      </c>
      <c r="G7" s="13" t="n">
        <f aca="false">C7-C6</f>
        <v>-1.39999999999998</v>
      </c>
    </row>
    <row r="8" customFormat="false" ht="15" hidden="false" customHeight="false" outlineLevel="0" collapsed="false">
      <c r="A8" s="11" t="n">
        <v>2020</v>
      </c>
      <c r="B8" s="12" t="n">
        <v>211.2</v>
      </c>
      <c r="C8" s="12" t="n">
        <v>190.6</v>
      </c>
      <c r="D8" s="13" t="n">
        <f aca="false">B8-C8</f>
        <v>20.6</v>
      </c>
      <c r="E8" s="12" t="n">
        <v>9.8</v>
      </c>
      <c r="F8" s="12" t="n">
        <v>56.9</v>
      </c>
      <c r="G8" s="13" t="n">
        <f aca="false">C8-C7</f>
        <v>-13.7</v>
      </c>
    </row>
    <row r="9" customFormat="false" ht="15" hidden="false" customHeight="false" outlineLevel="0" collapsed="false">
      <c r="A9" s="11" t="n">
        <v>2021</v>
      </c>
      <c r="B9" s="12" t="n">
        <v>220.4</v>
      </c>
      <c r="C9" s="12" t="n">
        <v>198.7</v>
      </c>
      <c r="D9" s="13" t="n">
        <f aca="false">B9-C9</f>
        <v>21.7</v>
      </c>
      <c r="E9" s="12" t="n">
        <v>9.8</v>
      </c>
      <c r="F9" s="12" t="n">
        <v>59</v>
      </c>
      <c r="G9" s="13" t="n">
        <f aca="false">C9-C8</f>
        <v>8.09999999999999</v>
      </c>
    </row>
    <row r="10" customFormat="false" ht="15" hidden="false" customHeight="false" outlineLevel="0" collapsed="false">
      <c r="A10" s="2"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26"/>
    <col collapsed="false" customWidth="true" hidden="false" outlineLevel="0" max="6" min="5" style="0" width="22"/>
    <col collapsed="false" customWidth="true" hidden="false" outlineLevel="0" max="7" min="7" style="0" width="26"/>
  </cols>
  <sheetData>
    <row r="1" customFormat="false" ht="17.35" hidden="false" customHeight="false" outlineLevel="0" collapsed="false">
      <c r="A1" s="1" t="s">
        <v>66</v>
      </c>
    </row>
    <row r="2" customFormat="false" ht="15" hidden="false" customHeight="false" outlineLevel="0" collapsed="false">
      <c r="A2" s="2" t="s">
        <v>67</v>
      </c>
    </row>
    <row r="4" customFormat="false" ht="45" hidden="false" customHeight="true" outlineLevel="0" collapsed="false">
      <c r="A4" s="10" t="s">
        <v>68</v>
      </c>
      <c r="B4" s="10" t="s">
        <v>58</v>
      </c>
      <c r="C4" s="10" t="s">
        <v>59</v>
      </c>
      <c r="D4" s="10" t="s">
        <v>60</v>
      </c>
      <c r="E4" s="10" t="s">
        <v>61</v>
      </c>
      <c r="F4" s="10" t="s">
        <v>62</v>
      </c>
      <c r="G4" s="10" t="s">
        <v>69</v>
      </c>
    </row>
    <row r="5" customFormat="false" ht="15" hidden="false" customHeight="false" outlineLevel="0" collapsed="false">
      <c r="A5" s="14" t="s">
        <v>70</v>
      </c>
      <c r="B5" s="12" t="n">
        <v>220.1</v>
      </c>
      <c r="C5" s="12" t="n">
        <v>206.5</v>
      </c>
      <c r="D5" s="13" t="n">
        <f aca="false">B5-C5</f>
        <v>13.6</v>
      </c>
      <c r="E5" s="12" t="n">
        <v>6.2</v>
      </c>
      <c r="F5" s="12" t="n">
        <v>59.5</v>
      </c>
      <c r="G5" s="14" t="s">
        <v>64</v>
      </c>
    </row>
    <row r="6" customFormat="false" ht="15" hidden="false" customHeight="false" outlineLevel="0" collapsed="false">
      <c r="A6" s="14" t="s">
        <v>71</v>
      </c>
      <c r="B6" s="12" t="n">
        <v>204.6</v>
      </c>
      <c r="C6" s="12" t="n">
        <v>180.8</v>
      </c>
      <c r="D6" s="13" t="n">
        <f aca="false">B6-C6</f>
        <v>23.8</v>
      </c>
      <c r="E6" s="12" t="n">
        <v>11.7</v>
      </c>
      <c r="F6" s="12" t="n">
        <v>55.2</v>
      </c>
      <c r="G6" s="13" t="n">
        <f aca="false">C6-C5</f>
        <v>-25.7</v>
      </c>
    </row>
    <row r="7" customFormat="false" ht="15" hidden="false" customHeight="false" outlineLevel="0" collapsed="false">
      <c r="A7" s="14" t="s">
        <v>72</v>
      </c>
      <c r="B7" s="12" t="n">
        <v>208</v>
      </c>
      <c r="C7" s="12" t="n">
        <v>185</v>
      </c>
      <c r="D7" s="13" t="n">
        <f aca="false">B7-C7</f>
        <v>23</v>
      </c>
      <c r="E7" s="12" t="n">
        <v>11.1</v>
      </c>
      <c r="F7" s="12" t="n">
        <v>56</v>
      </c>
      <c r="G7" s="13" t="n">
        <f aca="false">C7-C6</f>
        <v>4.19999999999999</v>
      </c>
    </row>
    <row r="8" customFormat="false" ht="15" hidden="false" customHeight="false" outlineLevel="0" collapsed="false">
      <c r="A8" s="14" t="s">
        <v>73</v>
      </c>
      <c r="B8" s="12" t="n">
        <v>215.4</v>
      </c>
      <c r="C8" s="12" t="n">
        <v>197.1</v>
      </c>
      <c r="D8" s="13" t="n">
        <f aca="false">B8-C8</f>
        <v>18.3</v>
      </c>
      <c r="E8" s="12" t="n">
        <v>8.5</v>
      </c>
      <c r="F8" s="12" t="n">
        <v>57.9</v>
      </c>
      <c r="G8" s="13" t="n">
        <f aca="false">C8-C7</f>
        <v>12.1</v>
      </c>
    </row>
    <row r="9" customFormat="false" ht="15" hidden="false" customHeight="false" outlineLevel="0" collapsed="false">
      <c r="A9" s="14" t="s">
        <v>74</v>
      </c>
      <c r="B9" s="12" t="n">
        <v>212</v>
      </c>
      <c r="C9" s="12" t="n">
        <v>186.8</v>
      </c>
      <c r="D9" s="13" t="n">
        <f aca="false">B9-C9</f>
        <v>25.2</v>
      </c>
      <c r="E9" s="12" t="n">
        <v>11.9</v>
      </c>
      <c r="F9" s="12" t="n">
        <v>56.9</v>
      </c>
      <c r="G9" s="13" t="n">
        <f aca="false">C9-C8</f>
        <v>-10.3</v>
      </c>
    </row>
    <row r="10" customFormat="false" ht="15" hidden="false" customHeight="false" outlineLevel="0" collapsed="false">
      <c r="A10" s="14" t="s">
        <v>75</v>
      </c>
      <c r="B10" s="12" t="n">
        <v>218.8</v>
      </c>
      <c r="C10" s="12" t="n">
        <v>194.6</v>
      </c>
      <c r="D10" s="13" t="n">
        <f aca="false">B10-C10</f>
        <v>24.2</v>
      </c>
      <c r="E10" s="12" t="n">
        <v>11.1</v>
      </c>
      <c r="F10" s="12" t="n">
        <v>58.7</v>
      </c>
      <c r="G10" s="13" t="n">
        <f aca="false">C10-C9</f>
        <v>7.79999999999998</v>
      </c>
    </row>
    <row r="11" customFormat="false" ht="15" hidden="false" customHeight="false" outlineLevel="0" collapsed="false">
      <c r="A11" s="14" t="s">
        <v>76</v>
      </c>
      <c r="B11" s="12" t="n">
        <v>220.5</v>
      </c>
      <c r="C11" s="12" t="n">
        <v>198.7</v>
      </c>
      <c r="D11" s="13" t="n">
        <f aca="false">B11-C11</f>
        <v>21.8</v>
      </c>
      <c r="E11" s="12" t="n">
        <v>9.9</v>
      </c>
      <c r="F11" s="12" t="n">
        <v>59.1</v>
      </c>
      <c r="G11" s="13" t="n">
        <f aca="false">C11-C10</f>
        <v>4.09999999999999</v>
      </c>
    </row>
    <row r="12" customFormat="false" ht="15" hidden="false" customHeight="false" outlineLevel="0" collapsed="false">
      <c r="A12" s="14" t="s">
        <v>77</v>
      </c>
      <c r="B12" s="12" t="n">
        <v>225.9</v>
      </c>
      <c r="C12" s="12" t="n">
        <v>208</v>
      </c>
      <c r="D12" s="13" t="n">
        <f aca="false">B12-C12</f>
        <v>17.9</v>
      </c>
      <c r="E12" s="12" t="n">
        <v>7.9</v>
      </c>
      <c r="F12" s="12" t="n">
        <v>60.4</v>
      </c>
      <c r="G12" s="13" t="n">
        <f aca="false">C12-C11</f>
        <v>9.30000000000001</v>
      </c>
    </row>
    <row r="13" customFormat="false" ht="15" hidden="false" customHeight="false" outlineLevel="0" collapsed="false">
      <c r="A13" s="14" t="s">
        <v>78</v>
      </c>
      <c r="B13" s="12" t="n">
        <v>234.3</v>
      </c>
      <c r="C13" s="12" t="n">
        <v>218.4</v>
      </c>
      <c r="D13" s="13" t="n">
        <f aca="false">B13-C13</f>
        <v>15.9</v>
      </c>
      <c r="E13" s="12" t="n">
        <v>6.8</v>
      </c>
      <c r="F13" s="12" t="n">
        <v>62.5</v>
      </c>
      <c r="G13" s="13" t="n">
        <f aca="false">C13-C12</f>
        <v>10.4</v>
      </c>
    </row>
    <row r="14" customFormat="false" ht="15" hidden="false" customHeight="false" outlineLevel="0" collapsed="false">
      <c r="A14" s="14" t="s">
        <v>79</v>
      </c>
      <c r="B14" s="12" t="n">
        <v>242.7</v>
      </c>
      <c r="C14" s="12" t="n">
        <v>230.7</v>
      </c>
      <c r="D14" s="13" t="n">
        <f aca="false">B14-C14</f>
        <v>12</v>
      </c>
      <c r="E14" s="12" t="n">
        <v>4.9</v>
      </c>
      <c r="F14" s="12" t="n">
        <v>64.6</v>
      </c>
      <c r="G14" s="13" t="n">
        <f aca="false">C14-C13</f>
        <v>12.3</v>
      </c>
    </row>
    <row r="15" customFormat="false" ht="15" hidden="false" customHeight="false" outlineLevel="0" collapsed="false">
      <c r="A15" s="2"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6"/>
    <col collapsed="false" customWidth="true" hidden="false" outlineLevel="0" max="3" min="3" style="0" width="20"/>
    <col collapsed="false" customWidth="true" hidden="false" outlineLevel="0" max="4" min="4" style="0" width="22"/>
    <col collapsed="false" customWidth="true" hidden="false" outlineLevel="0" max="5" min="5" style="0" width="60"/>
  </cols>
  <sheetData>
    <row r="1" customFormat="false" ht="17.35" hidden="false" customHeight="false" outlineLevel="0" collapsed="false">
      <c r="A1" s="1" t="s">
        <v>81</v>
      </c>
    </row>
    <row r="2" customFormat="false" ht="15" hidden="false" customHeight="false" outlineLevel="0" collapsed="false">
      <c r="A2" s="2" t="s">
        <v>82</v>
      </c>
    </row>
    <row r="4" customFormat="false" ht="15" hidden="false" customHeight="false" outlineLevel="0" collapsed="false">
      <c r="A4" s="3" t="s">
        <v>83</v>
      </c>
    </row>
    <row r="5" customFormat="false" ht="15" hidden="false" customHeight="false" outlineLevel="0" collapsed="false">
      <c r="A5" s="10" t="s">
        <v>84</v>
      </c>
      <c r="B5" s="10" t="s">
        <v>85</v>
      </c>
      <c r="C5" s="10" t="s">
        <v>86</v>
      </c>
      <c r="D5" s="10" t="s">
        <v>87</v>
      </c>
      <c r="E5" s="10" t="s">
        <v>88</v>
      </c>
    </row>
    <row r="6" customFormat="false" ht="15" hidden="false" customHeight="false" outlineLevel="0" collapsed="false">
      <c r="A6" s="14" t="s">
        <v>89</v>
      </c>
      <c r="B6" s="12" t="n">
        <v>2.3</v>
      </c>
      <c r="C6" s="12" t="n">
        <v>2.8</v>
      </c>
      <c r="D6" s="13" t="n">
        <f aca="false">C6-B6</f>
        <v>0.5</v>
      </c>
      <c r="E6" s="15" t="n">
        <f aca="false">IF(B6=0,"",D6/B6*100)</f>
        <v>21.7391304347826</v>
      </c>
    </row>
    <row r="7" customFormat="false" ht="15" hidden="false" customHeight="false" outlineLevel="0" collapsed="false">
      <c r="A7" s="14" t="s">
        <v>90</v>
      </c>
      <c r="B7" s="12" t="n">
        <v>15</v>
      </c>
      <c r="C7" s="12" t="n">
        <v>22</v>
      </c>
      <c r="D7" s="13" t="n">
        <f aca="false">C7-B7</f>
        <v>7</v>
      </c>
      <c r="E7" s="15" t="n">
        <f aca="false">IF(B7=0,"",D7/B7*100)</f>
        <v>46.6666666666667</v>
      </c>
    </row>
    <row r="8" customFormat="false" ht="15" hidden="false" customHeight="false" outlineLevel="0" collapsed="false">
      <c r="A8" s="14" t="s">
        <v>91</v>
      </c>
      <c r="B8" s="12" t="n">
        <v>25.7</v>
      </c>
      <c r="C8" s="12" t="n">
        <v>20.6</v>
      </c>
      <c r="D8" s="13" t="n">
        <f aca="false">C8-B8</f>
        <v>-5.1</v>
      </c>
      <c r="E8" s="15" t="n">
        <f aca="false">IF(B8=0,"",D8/B8*100)</f>
        <v>-19.8443579766537</v>
      </c>
    </row>
    <row r="9" customFormat="false" ht="15" hidden="false" customHeight="false" outlineLevel="0" collapsed="false">
      <c r="A9" s="14" t="s">
        <v>92</v>
      </c>
      <c r="B9" s="12" t="n">
        <v>25.4</v>
      </c>
      <c r="C9" s="12" t="n">
        <v>26.8</v>
      </c>
      <c r="D9" s="13" t="n">
        <f aca="false">C9-B9</f>
        <v>1.4</v>
      </c>
      <c r="E9" s="15" t="n">
        <f aca="false">IF(B9=0,"",D9/B9*100)</f>
        <v>5.51181102362206</v>
      </c>
    </row>
    <row r="10" customFormat="false" ht="15" hidden="false" customHeight="false" outlineLevel="0" collapsed="false">
      <c r="A10" s="14" t="s">
        <v>93</v>
      </c>
      <c r="B10" s="12" t="n">
        <v>7.5</v>
      </c>
      <c r="C10" s="12" t="n">
        <v>11.6</v>
      </c>
      <c r="D10" s="13" t="n">
        <f aca="false">C10-B10</f>
        <v>4.1</v>
      </c>
      <c r="E10" s="15" t="n">
        <f aca="false">IF(B10=0,"",D10/B10*100)</f>
        <v>54.6666666666667</v>
      </c>
    </row>
    <row r="11" customFormat="false" ht="15" hidden="false" customHeight="false" outlineLevel="0" collapsed="false">
      <c r="A11" s="14" t="s">
        <v>94</v>
      </c>
      <c r="B11" s="12" t="n">
        <v>11.2</v>
      </c>
      <c r="C11" s="12" t="n">
        <v>15.7</v>
      </c>
      <c r="D11" s="13" t="n">
        <f aca="false">C11-B11</f>
        <v>4.5</v>
      </c>
      <c r="E11" s="15" t="n">
        <f aca="false">IF(B11=0,"",D11/B11*100)</f>
        <v>40.1785714285714</v>
      </c>
    </row>
    <row r="12" customFormat="false" ht="15" hidden="false" customHeight="false" outlineLevel="0" collapsed="false">
      <c r="A12" s="14" t="s">
        <v>95</v>
      </c>
      <c r="B12" s="12" t="n">
        <v>9.3</v>
      </c>
      <c r="C12" s="12" t="n">
        <v>17.9</v>
      </c>
      <c r="D12" s="13" t="n">
        <f aca="false">C12-B12</f>
        <v>8.6</v>
      </c>
      <c r="E12" s="15" t="n">
        <f aca="false">IF(B12=0,"",D12/B12*100)</f>
        <v>92.4731182795699</v>
      </c>
    </row>
    <row r="13" customFormat="false" ht="15" hidden="false" customHeight="false" outlineLevel="0" collapsed="false">
      <c r="A13" s="14" t="s">
        <v>96</v>
      </c>
      <c r="B13" s="12" t="n">
        <v>8.6</v>
      </c>
      <c r="C13" s="12" t="n">
        <v>12</v>
      </c>
      <c r="D13" s="13" t="n">
        <f aca="false">C13-B13</f>
        <v>3.4</v>
      </c>
      <c r="E13" s="15" t="n">
        <f aca="false">IF(B13=0,"",D13/B13*100)</f>
        <v>39.5348837209302</v>
      </c>
    </row>
    <row r="14" customFormat="false" ht="15" hidden="false" customHeight="false" outlineLevel="0" collapsed="false">
      <c r="A14" s="14" t="s">
        <v>97</v>
      </c>
      <c r="B14" s="12" t="n">
        <v>18.7</v>
      </c>
      <c r="C14" s="12" t="n">
        <v>16</v>
      </c>
      <c r="D14" s="13" t="n">
        <f aca="false">C14-B14</f>
        <v>-2.7</v>
      </c>
      <c r="E14" s="15" t="n">
        <f aca="false">IF(B14=0,"",D14/B14*100)</f>
        <v>-14.4385026737968</v>
      </c>
    </row>
    <row r="15" customFormat="false" ht="15" hidden="false" customHeight="false" outlineLevel="0" collapsed="false">
      <c r="A15" s="14" t="s">
        <v>98</v>
      </c>
      <c r="B15" s="12" t="n">
        <v>24.3</v>
      </c>
      <c r="C15" s="12" t="n">
        <v>29.4</v>
      </c>
      <c r="D15" s="13" t="n">
        <f aca="false">C15-B15</f>
        <v>5.1</v>
      </c>
      <c r="E15" s="15" t="n">
        <f aca="false">IF(B15=0,"",D15/B15*100)</f>
        <v>20.9876543209876</v>
      </c>
    </row>
    <row r="16" customFormat="false" ht="15" hidden="false" customHeight="false" outlineLevel="0" collapsed="false">
      <c r="A16" s="14" t="s">
        <v>99</v>
      </c>
      <c r="B16" s="12" t="n">
        <v>4</v>
      </c>
      <c r="C16" s="12" t="n">
        <v>9.9</v>
      </c>
      <c r="D16" s="13" t="n">
        <f aca="false">C16-B16</f>
        <v>5.9</v>
      </c>
      <c r="E16" s="15" t="n">
        <f aca="false">IF(B16=0,"",D16/B16*100)</f>
        <v>147.5</v>
      </c>
    </row>
    <row r="17" customFormat="false" ht="15" hidden="false" customHeight="false" outlineLevel="0" collapsed="false">
      <c r="A17" s="14" t="s">
        <v>100</v>
      </c>
      <c r="B17" s="12" t="n">
        <v>15.4</v>
      </c>
      <c r="C17" s="12" t="n">
        <v>18.5</v>
      </c>
      <c r="D17" s="13" t="n">
        <f aca="false">C17-B17</f>
        <v>3.1</v>
      </c>
      <c r="E17" s="15" t="n">
        <f aca="false">IF(B17=0,"",D17/B17*100)</f>
        <v>20.1298701298701</v>
      </c>
    </row>
    <row r="18" customFormat="false" ht="15" hidden="false" customHeight="false" outlineLevel="0" collapsed="false">
      <c r="A18" s="14" t="s">
        <v>101</v>
      </c>
      <c r="B18" s="12" t="n">
        <v>9.8</v>
      </c>
      <c r="C18" s="12" t="n">
        <v>10</v>
      </c>
      <c r="D18" s="13" t="n">
        <f aca="false">C18-B18</f>
        <v>0.199999999999999</v>
      </c>
      <c r="E18" s="15" t="n">
        <f aca="false">IF(B18=0,"",D18/B18*100)</f>
        <v>2.0408163265306</v>
      </c>
    </row>
    <row r="19" customFormat="false" ht="15" hidden="false" customHeight="false" outlineLevel="0" collapsed="false">
      <c r="A19" s="14" t="s">
        <v>102</v>
      </c>
      <c r="B19" s="12" t="n">
        <v>9.6</v>
      </c>
      <c r="C19" s="12" t="n">
        <v>11.9</v>
      </c>
      <c r="D19" s="13" t="n">
        <f aca="false">C19-B19</f>
        <v>2.3</v>
      </c>
      <c r="E19" s="15" t="n">
        <f aca="false">IF(B19=0,"",D19/B19*100)</f>
        <v>23.9583333333333</v>
      </c>
    </row>
    <row r="20" customFormat="false" ht="15" hidden="false" customHeight="false" outlineLevel="0" collapsed="false">
      <c r="A20" s="2" t="s">
        <v>103</v>
      </c>
    </row>
    <row r="22" customFormat="false" ht="15" hidden="false" customHeight="false" outlineLevel="0" collapsed="false">
      <c r="A22" s="3" t="s">
        <v>104</v>
      </c>
    </row>
    <row r="23" customFormat="false" ht="23.85" hidden="false" customHeight="false" outlineLevel="0" collapsed="false">
      <c r="A23" s="10" t="s">
        <v>84</v>
      </c>
      <c r="B23" s="10" t="s">
        <v>105</v>
      </c>
    </row>
    <row r="24" customFormat="false" ht="15" hidden="false" customHeight="false" outlineLevel="0" collapsed="false">
      <c r="A24" s="14" t="s">
        <v>91</v>
      </c>
      <c r="B24" s="16" t="n">
        <v>36.8</v>
      </c>
    </row>
    <row r="25" customFormat="false" ht="15" hidden="false" customHeight="false" outlineLevel="0" collapsed="false">
      <c r="A25" s="14" t="s">
        <v>106</v>
      </c>
      <c r="B25" s="16" t="n">
        <v>33.3</v>
      </c>
    </row>
    <row r="26" customFormat="false" ht="15" hidden="false" customHeight="false" outlineLevel="0" collapsed="false">
      <c r="A26" s="14" t="s">
        <v>107</v>
      </c>
      <c r="B26" s="16" t="n">
        <v>26.2</v>
      </c>
    </row>
    <row r="27" customFormat="false" ht="15" hidden="false" customHeight="false" outlineLevel="0" collapsed="false">
      <c r="A27" s="14" t="s">
        <v>102</v>
      </c>
      <c r="B27" s="16" t="n">
        <v>14.9</v>
      </c>
    </row>
    <row r="28" customFormat="false" ht="15" hidden="false" customHeight="false" outlineLevel="0" collapsed="false">
      <c r="A28" s="14" t="s">
        <v>96</v>
      </c>
      <c r="B28" s="16" t="n">
        <v>14.6</v>
      </c>
    </row>
    <row r="29" customFormat="false" ht="15" hidden="false" customHeight="false" outlineLevel="0" collapsed="false">
      <c r="A29" s="14" t="s">
        <v>94</v>
      </c>
      <c r="B29" s="16" t="n">
        <v>9.3</v>
      </c>
    </row>
    <row r="30" customFormat="false" ht="15" hidden="false" customHeight="false" outlineLevel="0" collapsed="false">
      <c r="A30" s="14" t="s">
        <v>108</v>
      </c>
      <c r="B30" s="16" t="n">
        <v>6.7</v>
      </c>
    </row>
    <row r="31" customFormat="false" ht="15" hidden="false" customHeight="false" outlineLevel="0" collapsed="false">
      <c r="A31" s="14" t="s">
        <v>93</v>
      </c>
      <c r="B31" s="16" t="n">
        <v>5.6</v>
      </c>
    </row>
    <row r="32" customFormat="false" ht="15" hidden="false" customHeight="false" outlineLevel="0" collapsed="false">
      <c r="A32" s="14" t="s">
        <v>97</v>
      </c>
      <c r="B32" s="16" t="n">
        <v>2.1</v>
      </c>
    </row>
    <row r="33" customFormat="false" ht="15" hidden="false" customHeight="false" outlineLevel="0" collapsed="false">
      <c r="A33" s="14" t="s">
        <v>101</v>
      </c>
      <c r="B33" s="16" t="n">
        <v>1.1</v>
      </c>
    </row>
    <row r="34" customFormat="false" ht="15" hidden="false" customHeight="false" outlineLevel="0" collapsed="false">
      <c r="A34" s="14" t="s">
        <v>98</v>
      </c>
      <c r="B34" s="16" t="n">
        <v>-4.9</v>
      </c>
    </row>
    <row r="35" customFormat="false" ht="15" hidden="false" customHeight="false" outlineLevel="0" collapsed="false">
      <c r="A35" s="14" t="s">
        <v>92</v>
      </c>
      <c r="B35" s="16" t="n">
        <v>-8</v>
      </c>
    </row>
    <row r="36" customFormat="false" ht="15" hidden="false" customHeight="false" outlineLevel="0" collapsed="false">
      <c r="A36" s="14" t="s">
        <v>90</v>
      </c>
      <c r="B36" s="16" t="n">
        <v>-18.7</v>
      </c>
    </row>
    <row r="37" customFormat="false" ht="15" hidden="false" customHeight="false" outlineLevel="0" collapsed="false">
      <c r="A37" s="14" t="s">
        <v>99</v>
      </c>
      <c r="B37" s="16" t="n">
        <v>-22.7</v>
      </c>
    </row>
    <row r="38" customFormat="false" ht="15" hidden="false" customHeight="false" outlineLevel="0" collapsed="false">
      <c r="A38" s="14" t="s">
        <v>100</v>
      </c>
      <c r="B38" s="16" t="n">
        <v>-34.6</v>
      </c>
    </row>
    <row r="39" customFormat="false" ht="15" hidden="false" customHeight="false" outlineLevel="0" collapsed="false">
      <c r="A39" s="14" t="s">
        <v>89</v>
      </c>
      <c r="B39" s="16" t="n">
        <v>-40</v>
      </c>
    </row>
    <row r="40" customFormat="false" ht="15" hidden="false" customHeight="false" outlineLevel="0" collapsed="false">
      <c r="A40" s="2" t="s">
        <v>109</v>
      </c>
    </row>
    <row r="42" customFormat="false" ht="15" hidden="false" customHeight="false" outlineLevel="0" collapsed="false">
      <c r="A42" s="3" t="s">
        <v>110</v>
      </c>
    </row>
    <row r="43" customFormat="false" ht="15" hidden="false" customHeight="false" outlineLevel="0" collapsed="false">
      <c r="A43" s="10" t="s">
        <v>84</v>
      </c>
      <c r="B43" s="10" t="s">
        <v>111</v>
      </c>
      <c r="C43" s="10" t="s">
        <v>112</v>
      </c>
    </row>
    <row r="44" customFormat="false" ht="15" hidden="false" customHeight="false" outlineLevel="0" collapsed="false">
      <c r="A44" s="14" t="s">
        <v>113</v>
      </c>
      <c r="B44" s="17" t="n">
        <v>27666</v>
      </c>
      <c r="C44" s="14" t="s">
        <v>114</v>
      </c>
    </row>
    <row r="45" customFormat="false" ht="15" hidden="false" customHeight="false" outlineLevel="0" collapsed="false">
      <c r="A45" s="14" t="s">
        <v>115</v>
      </c>
      <c r="B45" s="17" t="n">
        <v>27278</v>
      </c>
      <c r="C45" s="14"/>
    </row>
    <row r="46" customFormat="false" ht="15" hidden="false" customHeight="false" outlineLevel="0" collapsed="false">
      <c r="A46" s="14" t="s">
        <v>116</v>
      </c>
      <c r="B46" s="17" t="n">
        <v>26758</v>
      </c>
      <c r="C46" s="14"/>
    </row>
    <row r="47" customFormat="false" ht="15" hidden="false" customHeight="false" outlineLevel="0" collapsed="false">
      <c r="A47" s="14" t="s">
        <v>91</v>
      </c>
      <c r="B47" s="17" t="n">
        <v>18791</v>
      </c>
      <c r="C47" s="14" t="s">
        <v>117</v>
      </c>
    </row>
    <row r="48" customFormat="false" ht="15" hidden="false" customHeight="false" outlineLevel="0" collapsed="false">
      <c r="A48" s="2" t="s">
        <v>118</v>
      </c>
    </row>
    <row r="50" customFormat="false" ht="15" hidden="false" customHeight="false" outlineLevel="0" collapsed="false">
      <c r="A50" s="3" t="s">
        <v>119</v>
      </c>
    </row>
    <row r="51" customFormat="false" ht="15" hidden="false" customHeight="false" outlineLevel="0" collapsed="false">
      <c r="A51" s="10" t="s">
        <v>84</v>
      </c>
      <c r="B51" s="10" t="s">
        <v>120</v>
      </c>
      <c r="C51" s="10" t="s">
        <v>121</v>
      </c>
      <c r="D51" s="10" t="s">
        <v>112</v>
      </c>
    </row>
    <row r="52" customFormat="false" ht="15" hidden="false" customHeight="false" outlineLevel="0" collapsed="false">
      <c r="A52" s="14" t="s">
        <v>122</v>
      </c>
      <c r="B52" s="17" t="n">
        <v>36420</v>
      </c>
      <c r="C52" s="17" t="n">
        <v>2501</v>
      </c>
      <c r="D52" s="14" t="s">
        <v>123</v>
      </c>
    </row>
    <row r="53" customFormat="false" ht="15" hidden="false" customHeight="false" outlineLevel="0" collapsed="false">
      <c r="A53" s="14" t="s">
        <v>124</v>
      </c>
      <c r="B53" s="17" t="n">
        <v>20000</v>
      </c>
      <c r="C53" s="14" t="s">
        <v>64</v>
      </c>
      <c r="D53" s="14" t="s">
        <v>125</v>
      </c>
    </row>
    <row r="54" customFormat="false" ht="15" hidden="false" customHeight="false" outlineLevel="0" collapsed="false">
      <c r="A54" s="14" t="s">
        <v>91</v>
      </c>
      <c r="B54" s="17" t="n">
        <v>17000</v>
      </c>
      <c r="C54" s="17" t="n">
        <v>620</v>
      </c>
      <c r="D54" s="14" t="s">
        <v>126</v>
      </c>
    </row>
    <row r="55" customFormat="false" ht="15" hidden="false" customHeight="false" outlineLevel="0" collapsed="false">
      <c r="A55" s="14" t="s">
        <v>127</v>
      </c>
      <c r="B55" s="17" t="n">
        <v>12500</v>
      </c>
      <c r="C55" s="17" t="n">
        <v>435</v>
      </c>
      <c r="D55" s="14" t="s">
        <v>128</v>
      </c>
    </row>
    <row r="56" customFormat="false" ht="15" hidden="false" customHeight="false" outlineLevel="0" collapsed="false">
      <c r="A56" s="2"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4"/>
    <col collapsed="false" customWidth="true" hidden="false" outlineLevel="0" max="7" min="6" style="0" width="10"/>
  </cols>
  <sheetData>
    <row r="1" customFormat="false" ht="17.35" hidden="false" customHeight="false" outlineLevel="0" collapsed="false">
      <c r="A1" s="1" t="s">
        <v>130</v>
      </c>
    </row>
    <row r="2" customFormat="false" ht="15" hidden="false" customHeight="false" outlineLevel="0" collapsed="false">
      <c r="A2" s="2" t="s">
        <v>131</v>
      </c>
    </row>
    <row r="4" customFormat="false" ht="15" hidden="false" customHeight="false" outlineLevel="0" collapsed="false">
      <c r="A4" s="3" t="s">
        <v>132</v>
      </c>
    </row>
    <row r="5" customFormat="false" ht="15" hidden="false" customHeight="false" outlineLevel="0" collapsed="false">
      <c r="A5" s="10" t="s">
        <v>133</v>
      </c>
      <c r="B5" s="10" t="s">
        <v>134</v>
      </c>
      <c r="C5" s="10" t="s">
        <v>135</v>
      </c>
      <c r="D5" s="10" t="s">
        <v>136</v>
      </c>
      <c r="E5" s="10" t="s">
        <v>88</v>
      </c>
      <c r="F5" s="10" t="s">
        <v>137</v>
      </c>
      <c r="G5" s="10" t="s">
        <v>138</v>
      </c>
    </row>
    <row r="6" customFormat="false" ht="15" hidden="false" customHeight="false" outlineLevel="0" collapsed="false">
      <c r="A6" s="14" t="s">
        <v>139</v>
      </c>
      <c r="B6" s="17" t="n">
        <v>3129</v>
      </c>
      <c r="C6" s="17" t="n">
        <v>3237</v>
      </c>
      <c r="D6" s="18" t="n">
        <f aca="false">C6-B6</f>
        <v>108</v>
      </c>
      <c r="E6" s="15" t="n">
        <f aca="false">IF(B6=0,"",D6/B6*100)</f>
        <v>3.45158197507191</v>
      </c>
      <c r="F6" s="19" t="n">
        <v>0.9</v>
      </c>
      <c r="G6" s="19" t="n">
        <v>1.4</v>
      </c>
    </row>
    <row r="7" customFormat="false" ht="15" hidden="false" customHeight="false" outlineLevel="0" collapsed="false">
      <c r="A7" s="14" t="s">
        <v>140</v>
      </c>
      <c r="B7" s="17" t="n">
        <v>2821</v>
      </c>
      <c r="C7" s="17" t="n">
        <v>2740</v>
      </c>
      <c r="D7" s="18" t="n">
        <f aca="false">C7-B7</f>
        <v>-81</v>
      </c>
      <c r="E7" s="15" t="n">
        <f aca="false">IF(B7=0,"",D7/B7*100)</f>
        <v>-2.87132222616094</v>
      </c>
      <c r="F7" s="19" t="n">
        <v>1.4</v>
      </c>
      <c r="G7" s="19" t="n">
        <v>1.5</v>
      </c>
    </row>
    <row r="8" customFormat="false" ht="15" hidden="false" customHeight="false" outlineLevel="0" collapsed="false">
      <c r="A8" s="14" t="s">
        <v>141</v>
      </c>
      <c r="B8" s="17" t="n">
        <v>2137</v>
      </c>
      <c r="C8" s="17" t="n">
        <v>2519</v>
      </c>
      <c r="D8" s="18" t="n">
        <f aca="false">C8-B8</f>
        <v>382</v>
      </c>
      <c r="E8" s="15" t="n">
        <f aca="false">IF(B8=0,"",D8/B8*100)</f>
        <v>17.8755264389331</v>
      </c>
      <c r="F8" s="19" t="n">
        <v>4.6</v>
      </c>
      <c r="G8" s="19" t="n">
        <v>5</v>
      </c>
    </row>
    <row r="9" customFormat="false" ht="15" hidden="false" customHeight="false" outlineLevel="0" collapsed="false">
      <c r="A9" s="14" t="s">
        <v>142</v>
      </c>
      <c r="B9" s="17" t="n">
        <v>1508</v>
      </c>
      <c r="C9" s="17" t="n">
        <v>1538</v>
      </c>
      <c r="D9" s="18" t="n">
        <f aca="false">C9-B9</f>
        <v>30</v>
      </c>
      <c r="E9" s="15" t="n">
        <f aca="false">IF(B9=0,"",D9/B9*100)</f>
        <v>1.9893899204244</v>
      </c>
      <c r="F9" s="19" t="n">
        <v>0.8</v>
      </c>
      <c r="G9" s="19" t="n">
        <v>1</v>
      </c>
    </row>
    <row r="10" customFormat="false" ht="15" hidden="false" customHeight="false" outlineLevel="0" collapsed="false">
      <c r="A10" s="14" t="s">
        <v>143</v>
      </c>
      <c r="B10" s="17" t="n">
        <v>1501</v>
      </c>
      <c r="C10" s="17" t="n">
        <v>1372</v>
      </c>
      <c r="D10" s="18" t="n">
        <f aca="false">C10-B10</f>
        <v>-129</v>
      </c>
      <c r="E10" s="15" t="n">
        <f aca="false">IF(B10=0,"",D10/B10*100)</f>
        <v>-8.59427048634244</v>
      </c>
      <c r="F10" s="19" t="n">
        <v>0.6</v>
      </c>
      <c r="G10" s="19" t="n">
        <v>0.5</v>
      </c>
    </row>
    <row r="11" customFormat="false" ht="15" hidden="false" customHeight="false" outlineLevel="0" collapsed="false">
      <c r="A11" s="14" t="s">
        <v>144</v>
      </c>
      <c r="B11" s="17" t="n">
        <v>1277</v>
      </c>
      <c r="C11" s="17" t="n">
        <v>1255</v>
      </c>
      <c r="D11" s="18" t="n">
        <f aca="false">C11-B11</f>
        <v>-22</v>
      </c>
      <c r="E11" s="15" t="n">
        <f aca="false">IF(B11=0,"",D11/B11*100)</f>
        <v>-1.72278778386844</v>
      </c>
      <c r="F11" s="19" t="n">
        <v>2.2</v>
      </c>
      <c r="G11" s="19" t="n">
        <v>2.1</v>
      </c>
    </row>
    <row r="12" customFormat="false" ht="15" hidden="false" customHeight="false" outlineLevel="0" collapsed="false">
      <c r="A12" s="14" t="s">
        <v>145</v>
      </c>
      <c r="B12" s="17" t="n">
        <v>1099</v>
      </c>
      <c r="C12" s="17" t="n">
        <v>1095</v>
      </c>
      <c r="D12" s="18" t="n">
        <f aca="false">C12-B12</f>
        <v>-4</v>
      </c>
      <c r="E12" s="15" t="n">
        <f aca="false">IF(B12=0,"",D12/B12*100)</f>
        <v>-0.363967242948135</v>
      </c>
      <c r="F12" s="19" t="n">
        <v>0.7</v>
      </c>
      <c r="G12" s="19" t="n">
        <v>1</v>
      </c>
    </row>
    <row r="13" customFormat="false" ht="15" hidden="false" customHeight="false" outlineLevel="0" collapsed="false">
      <c r="A13" s="14" t="s">
        <v>146</v>
      </c>
      <c r="B13" s="17" t="n">
        <v>726</v>
      </c>
      <c r="C13" s="17" t="n">
        <v>881</v>
      </c>
      <c r="D13" s="18" t="n">
        <f aca="false">C13-B13</f>
        <v>155</v>
      </c>
      <c r="E13" s="15" t="n">
        <f aca="false">IF(B13=0,"",D13/B13*100)</f>
        <v>21.3498622589532</v>
      </c>
      <c r="F13" s="19" t="n">
        <v>0.6</v>
      </c>
      <c r="G13" s="19" t="n">
        <v>0.8</v>
      </c>
    </row>
    <row r="14" customFormat="false" ht="15" hidden="false" customHeight="false" outlineLevel="0" collapsed="false">
      <c r="A14" s="14" t="s">
        <v>147</v>
      </c>
      <c r="B14" s="17" t="n">
        <v>882</v>
      </c>
      <c r="C14" s="17" t="n">
        <v>875</v>
      </c>
      <c r="D14" s="18" t="n">
        <f aca="false">C14-B14</f>
        <v>-7</v>
      </c>
      <c r="E14" s="15" t="n">
        <f aca="false">IF(B14=0,"",D14/B14*100)</f>
        <v>-0.793650793650794</v>
      </c>
      <c r="F14" s="19" t="n">
        <v>1.1</v>
      </c>
      <c r="G14" s="19" t="n">
        <v>1.4</v>
      </c>
    </row>
    <row r="15" customFormat="false" ht="15" hidden="false" customHeight="false" outlineLevel="0" collapsed="false">
      <c r="A15" s="14" t="s">
        <v>148</v>
      </c>
      <c r="B15" s="17" t="n">
        <v>574</v>
      </c>
      <c r="C15" s="17" t="n">
        <v>624</v>
      </c>
      <c r="D15" s="18" t="n">
        <f aca="false">C15-B15</f>
        <v>50</v>
      </c>
      <c r="E15" s="15" t="n">
        <f aca="false">IF(B15=0,"",D15/B15*100)</f>
        <v>8.71080139372822</v>
      </c>
      <c r="F15" s="19" t="n">
        <v>0.7</v>
      </c>
      <c r="G15" s="19" t="n">
        <v>0.8</v>
      </c>
    </row>
    <row r="16" customFormat="false" ht="15" hidden="false" customHeight="false" outlineLevel="0" collapsed="false">
      <c r="A16" s="14" t="s">
        <v>149</v>
      </c>
      <c r="B16" s="17" t="n">
        <v>527</v>
      </c>
      <c r="C16" s="17" t="n">
        <v>561</v>
      </c>
      <c r="D16" s="18" t="n">
        <f aca="false">C16-B16</f>
        <v>34</v>
      </c>
      <c r="E16" s="15" t="n">
        <f aca="false">IF(B16=0,"",D16/B16*100)</f>
        <v>6.45161290322581</v>
      </c>
      <c r="F16" s="19" t="n">
        <v>0.7</v>
      </c>
      <c r="G16" s="19" t="n">
        <v>0.9</v>
      </c>
    </row>
    <row r="17" customFormat="false" ht="15" hidden="false" customHeight="false" outlineLevel="0" collapsed="false">
      <c r="A17" s="14" t="s">
        <v>150</v>
      </c>
      <c r="B17" s="17" t="n">
        <v>596</v>
      </c>
      <c r="C17" s="17" t="n">
        <v>504</v>
      </c>
      <c r="D17" s="18" t="n">
        <f aca="false">C17-B17</f>
        <v>-92</v>
      </c>
      <c r="E17" s="15" t="n">
        <f aca="false">IF(B17=0,"",D17/B17*100)</f>
        <v>-15.4362416107383</v>
      </c>
      <c r="F17" s="19" t="n">
        <v>0.6</v>
      </c>
      <c r="G17" s="19" t="n">
        <v>0.8</v>
      </c>
    </row>
    <row r="18" customFormat="false" ht="15" hidden="false" customHeight="false" outlineLevel="0" collapsed="false">
      <c r="A18" s="14" t="s">
        <v>151</v>
      </c>
      <c r="B18" s="17" t="n">
        <v>499</v>
      </c>
      <c r="C18" s="17" t="n">
        <v>490</v>
      </c>
      <c r="D18" s="18" t="n">
        <f aca="false">C18-B18</f>
        <v>-9</v>
      </c>
      <c r="E18" s="15" t="n">
        <f aca="false">IF(B18=0,"",D18/B18*100)</f>
        <v>-1.80360721442886</v>
      </c>
      <c r="F18" s="19" t="n">
        <v>0.9</v>
      </c>
      <c r="G18" s="19" t="n">
        <v>0.4</v>
      </c>
    </row>
    <row r="19" customFormat="false" ht="15" hidden="false" customHeight="false" outlineLevel="0" collapsed="false">
      <c r="A19" s="14" t="s">
        <v>152</v>
      </c>
      <c r="B19" s="17" t="n">
        <v>508</v>
      </c>
      <c r="C19" s="17" t="n">
        <v>405</v>
      </c>
      <c r="D19" s="18" t="n">
        <f aca="false">C19-B19</f>
        <v>-103</v>
      </c>
      <c r="E19" s="15" t="n">
        <f aca="false">IF(B19=0,"",D19/B19*100)</f>
        <v>-20.2755905511811</v>
      </c>
      <c r="F19" s="19" t="n">
        <v>0.8</v>
      </c>
      <c r="G19" s="19" t="n">
        <v>0.7</v>
      </c>
    </row>
    <row r="20" customFormat="false" ht="15" hidden="false" customHeight="false" outlineLevel="0" collapsed="false">
      <c r="A20" s="14" t="s">
        <v>153</v>
      </c>
      <c r="B20" s="17" t="n">
        <v>262</v>
      </c>
      <c r="C20" s="17" t="n">
        <v>286</v>
      </c>
      <c r="D20" s="18" t="n">
        <f aca="false">C20-B20</f>
        <v>24</v>
      </c>
      <c r="E20" s="15" t="n">
        <f aca="false">IF(B20=0,"",D20/B20*100)</f>
        <v>9.16030534351145</v>
      </c>
      <c r="F20" s="19" t="n">
        <v>0.3</v>
      </c>
      <c r="G20" s="19" t="n">
        <v>0.3</v>
      </c>
    </row>
    <row r="21" customFormat="false" ht="15" hidden="false" customHeight="false" outlineLevel="0" collapsed="false">
      <c r="A21" s="14" t="s">
        <v>154</v>
      </c>
      <c r="B21" s="17" t="n">
        <v>93</v>
      </c>
      <c r="C21" s="17" t="n">
        <v>162</v>
      </c>
      <c r="D21" s="18" t="n">
        <f aca="false">C21-B21</f>
        <v>69</v>
      </c>
      <c r="E21" s="15" t="n">
        <f aca="false">IF(B21=0,"",D21/B21*100)</f>
        <v>74.1935483870968</v>
      </c>
      <c r="F21" s="19" t="n">
        <v>1.6</v>
      </c>
      <c r="G21" s="19" t="n">
        <v>1.8</v>
      </c>
    </row>
    <row r="22" customFormat="false" ht="15" hidden="false" customHeight="false" outlineLevel="0" collapsed="false">
      <c r="A22" s="14" t="s">
        <v>155</v>
      </c>
      <c r="B22" s="17" t="n">
        <v>57</v>
      </c>
      <c r="C22" s="17" t="n">
        <v>68</v>
      </c>
      <c r="D22" s="18" t="n">
        <f aca="false">C22-B22</f>
        <v>11</v>
      </c>
      <c r="E22" s="15" t="n">
        <f aca="false">IF(B22=0,"",D22/B22*100)</f>
        <v>19.2982456140351</v>
      </c>
      <c r="F22" s="19" t="n">
        <v>0.5</v>
      </c>
      <c r="G22" s="19" t="n">
        <v>0.5</v>
      </c>
    </row>
    <row r="23" customFormat="false" ht="15" hidden="false" customHeight="false" outlineLevel="0" collapsed="false">
      <c r="A23" s="14" t="s">
        <v>156</v>
      </c>
      <c r="B23" s="17" t="n">
        <v>76</v>
      </c>
      <c r="C23" s="17" t="n">
        <v>68</v>
      </c>
      <c r="D23" s="18" t="n">
        <f aca="false">C23-B23</f>
        <v>-8</v>
      </c>
      <c r="E23" s="15" t="n">
        <f aca="false">IF(B23=0,"",D23/B23*100)</f>
        <v>-10.5263157894737</v>
      </c>
      <c r="F23" s="19" t="n">
        <v>0.1</v>
      </c>
      <c r="G23" s="19" t="n">
        <v>0.2</v>
      </c>
    </row>
    <row r="24" customFormat="false" ht="15" hidden="false" customHeight="false" outlineLevel="0" collapsed="false">
      <c r="A24" s="14" t="s">
        <v>157</v>
      </c>
      <c r="B24" s="17" t="n">
        <v>10</v>
      </c>
      <c r="C24" s="17" t="n">
        <v>56</v>
      </c>
      <c r="D24" s="18" t="n">
        <f aca="false">C24-B24</f>
        <v>46</v>
      </c>
      <c r="E24" s="15" t="n">
        <f aca="false">IF(B24=0,"",D24/B24*100)</f>
        <v>460</v>
      </c>
      <c r="F24" s="19" t="n">
        <v>1.3</v>
      </c>
      <c r="G24" s="19" t="n">
        <v>1.3</v>
      </c>
    </row>
    <row r="25" customFormat="false" ht="15" hidden="false" customHeight="false" outlineLevel="0" collapsed="false">
      <c r="A25" s="14" t="s">
        <v>158</v>
      </c>
      <c r="B25" s="17" t="n">
        <v>37</v>
      </c>
      <c r="C25" s="17" t="n">
        <v>55</v>
      </c>
      <c r="D25" s="18" t="n">
        <f aca="false">C25-B25</f>
        <v>18</v>
      </c>
      <c r="E25" s="15" t="n">
        <f aca="false">IF(B25=0,"",D25/B25*100)</f>
        <v>48.6486486486487</v>
      </c>
      <c r="F25" s="19" t="n">
        <v>0.3</v>
      </c>
      <c r="G25" s="19" t="n">
        <v>0.2</v>
      </c>
    </row>
    <row r="26" customFormat="false" ht="15" hidden="false" customHeight="false" outlineLevel="0" collapsed="false">
      <c r="A26" s="14" t="s">
        <v>159</v>
      </c>
      <c r="B26" s="17" t="n">
        <v>0</v>
      </c>
      <c r="C26" s="17" t="n">
        <v>0</v>
      </c>
      <c r="D26" s="18" t="n">
        <f aca="false">C26-B26</f>
        <v>0</v>
      </c>
      <c r="E26" s="15" t="str">
        <f aca="false">IF(B26=0,"",D26/B26*100)</f>
        <v/>
      </c>
      <c r="F26" s="19" t="n">
        <v>0</v>
      </c>
      <c r="G26" s="19" t="n">
        <v>0</v>
      </c>
    </row>
    <row r="27" customFormat="false" ht="15" hidden="false" customHeight="false" outlineLevel="0" collapsed="false">
      <c r="A27" s="6" t="s">
        <v>160</v>
      </c>
      <c r="B27" s="20" t="n">
        <f aca="false">SUM(B6:B26)</f>
        <v>18319</v>
      </c>
      <c r="C27" s="20" t="n">
        <f aca="false">SUM(C6:C26)</f>
        <v>18791</v>
      </c>
      <c r="D27" s="20" t="n">
        <f aca="false">SUM(D6:D26)</f>
        <v>472</v>
      </c>
      <c r="E27" s="21" t="n">
        <f aca="false">D27/B27*100</f>
        <v>2.57655985588733</v>
      </c>
    </row>
    <row r="28" customFormat="false" ht="15" hidden="false" customHeight="false" outlineLevel="0" collapsed="false">
      <c r="A28" s="2" t="s">
        <v>161</v>
      </c>
    </row>
    <row r="30" customFormat="false" ht="15" hidden="false" customHeight="false" outlineLevel="0" collapsed="false">
      <c r="A30" s="3" t="s">
        <v>162</v>
      </c>
    </row>
    <row r="31" customFormat="false" ht="15" hidden="false" customHeight="false" outlineLevel="0" collapsed="false">
      <c r="A31" s="10" t="s">
        <v>163</v>
      </c>
      <c r="B31" s="10" t="s">
        <v>164</v>
      </c>
      <c r="C31" s="10" t="s">
        <v>135</v>
      </c>
      <c r="D31" s="10" t="s">
        <v>136</v>
      </c>
      <c r="E31" s="10" t="s">
        <v>88</v>
      </c>
    </row>
    <row r="32" customFormat="false" ht="15" hidden="false" customHeight="false" outlineLevel="0" collapsed="false">
      <c r="A32" s="14" t="s">
        <v>165</v>
      </c>
      <c r="B32" s="17" t="n">
        <v>1702</v>
      </c>
      <c r="C32" s="17" t="n">
        <v>2519</v>
      </c>
      <c r="D32" s="18" t="n">
        <f aca="false">C32-B32</f>
        <v>817</v>
      </c>
      <c r="E32" s="15" t="n">
        <f aca="false">D32/B32*100</f>
        <v>48.0023501762632</v>
      </c>
    </row>
    <row r="33" customFormat="false" ht="15" hidden="false" customHeight="false" outlineLevel="0" collapsed="false">
      <c r="A33" s="14" t="s">
        <v>166</v>
      </c>
      <c r="B33" s="17" t="n">
        <v>1391</v>
      </c>
      <c r="C33" s="17" t="n">
        <v>2048</v>
      </c>
      <c r="D33" s="18" t="n">
        <f aca="false">C33-B33</f>
        <v>657</v>
      </c>
      <c r="E33" s="15" t="n">
        <f aca="false">D33/B33*100</f>
        <v>47.2322070452912</v>
      </c>
    </row>
    <row r="34" customFormat="false" ht="15" hidden="false" customHeight="false" outlineLevel="0" collapsed="false">
      <c r="A34" s="14" t="s">
        <v>167</v>
      </c>
      <c r="B34" s="17" t="n">
        <v>980</v>
      </c>
      <c r="C34" s="17" t="n">
        <v>1269</v>
      </c>
      <c r="D34" s="18" t="n">
        <f aca="false">C34-B34</f>
        <v>289</v>
      </c>
      <c r="E34" s="15" t="n">
        <f aca="false">D34/B34*100</f>
        <v>29.4897959183673</v>
      </c>
    </row>
    <row r="35" customFormat="false" ht="15" hidden="false" customHeight="false" outlineLevel="0" collapsed="false">
      <c r="A35" s="14" t="s">
        <v>168</v>
      </c>
      <c r="B35" s="17" t="n">
        <v>556</v>
      </c>
      <c r="C35" s="17" t="n">
        <v>814</v>
      </c>
      <c r="D35" s="18" t="n">
        <f aca="false">C35-B35</f>
        <v>258</v>
      </c>
      <c r="E35" s="15" t="n">
        <f aca="false">D35/B35*100</f>
        <v>46.4028776978417</v>
      </c>
    </row>
    <row r="36" customFormat="false" ht="15" hidden="false" customHeight="false" outlineLevel="0" collapsed="false">
      <c r="A36" s="14" t="s">
        <v>169</v>
      </c>
      <c r="B36" s="17" t="n">
        <v>145</v>
      </c>
      <c r="C36" s="17" t="n">
        <v>341</v>
      </c>
      <c r="D36" s="18" t="n">
        <f aca="false">C36-B36</f>
        <v>196</v>
      </c>
      <c r="E36" s="15" t="n">
        <f aca="false">D36/B36*100</f>
        <v>135.172413793103</v>
      </c>
    </row>
    <row r="37" customFormat="false" ht="15" hidden="false" customHeight="false" outlineLevel="0" collapsed="false">
      <c r="A37" s="14" t="s">
        <v>170</v>
      </c>
      <c r="B37" s="17" t="n">
        <v>374</v>
      </c>
      <c r="C37" s="17" t="n">
        <v>531</v>
      </c>
      <c r="D37" s="18" t="n">
        <f aca="false">C37-B37</f>
        <v>157</v>
      </c>
      <c r="E37" s="15" t="n">
        <f aca="false">D37/B37*100</f>
        <v>41.9786096256685</v>
      </c>
    </row>
    <row r="38" customFormat="false" ht="15" hidden="false" customHeight="false" outlineLevel="0" collapsed="false">
      <c r="A38" s="14" t="s">
        <v>171</v>
      </c>
      <c r="B38" s="17" t="n">
        <v>398</v>
      </c>
      <c r="C38" s="17" t="n">
        <v>519</v>
      </c>
      <c r="D38" s="18" t="n">
        <f aca="false">C38-B38</f>
        <v>121</v>
      </c>
      <c r="E38" s="15" t="n">
        <f aca="false">D38/B38*100</f>
        <v>30.4020100502513</v>
      </c>
    </row>
    <row r="39" customFormat="false" ht="15" hidden="false" customHeight="false" outlineLevel="0" collapsed="false">
      <c r="A39" s="14" t="s">
        <v>172</v>
      </c>
      <c r="B39" s="17" t="n">
        <v>557</v>
      </c>
      <c r="C39" s="17" t="n">
        <v>668</v>
      </c>
      <c r="D39" s="18" t="n">
        <f aca="false">C39-B39</f>
        <v>111</v>
      </c>
      <c r="E39" s="15" t="n">
        <f aca="false">D39/B39*100</f>
        <v>19.9281867145422</v>
      </c>
    </row>
    <row r="40" customFormat="false" ht="15" hidden="false" customHeight="false" outlineLevel="0" collapsed="false">
      <c r="A40" s="14" t="s">
        <v>173</v>
      </c>
      <c r="B40" s="17" t="n">
        <v>245</v>
      </c>
      <c r="C40" s="17" t="n">
        <v>348</v>
      </c>
      <c r="D40" s="18" t="n">
        <f aca="false">C40-B40</f>
        <v>103</v>
      </c>
      <c r="E40" s="15" t="n">
        <f aca="false">D40/B40*100</f>
        <v>42.0408163265306</v>
      </c>
    </row>
    <row r="41" customFormat="false" ht="15" hidden="false" customHeight="false" outlineLevel="0" collapsed="false">
      <c r="A41" s="14" t="s">
        <v>174</v>
      </c>
      <c r="B41" s="17" t="n">
        <v>501</v>
      </c>
      <c r="C41" s="17" t="n">
        <v>586</v>
      </c>
      <c r="D41" s="18" t="n">
        <f aca="false">C41-B41</f>
        <v>85</v>
      </c>
      <c r="E41" s="15" t="n">
        <f aca="false">D41/B41*100</f>
        <v>16.9660678642715</v>
      </c>
    </row>
    <row r="42" customFormat="false" ht="15" hidden="false" customHeight="false" outlineLevel="0" collapsed="false">
      <c r="A42" s="14" t="s">
        <v>175</v>
      </c>
      <c r="B42" s="17" t="n">
        <v>120</v>
      </c>
      <c r="C42" s="17" t="n">
        <v>194</v>
      </c>
      <c r="D42" s="18" t="n">
        <f aca="false">C42-B42</f>
        <v>74</v>
      </c>
      <c r="E42" s="15" t="n">
        <f aca="false">D42/B42*100</f>
        <v>61.6666666666667</v>
      </c>
    </row>
    <row r="43" customFormat="false" ht="15" hidden="false" customHeight="false" outlineLevel="0" collapsed="false">
      <c r="A43" s="14" t="s">
        <v>176</v>
      </c>
      <c r="B43" s="17" t="n">
        <v>365</v>
      </c>
      <c r="C43" s="17" t="n">
        <v>427</v>
      </c>
      <c r="D43" s="18" t="n">
        <f aca="false">C43-B43</f>
        <v>62</v>
      </c>
      <c r="E43" s="15" t="n">
        <f aca="false">D43/B43*100</f>
        <v>16.986301369863</v>
      </c>
    </row>
    <row r="44" customFormat="false" ht="15" hidden="false" customHeight="false" outlineLevel="0" collapsed="false">
      <c r="A44" s="14" t="s">
        <v>177</v>
      </c>
      <c r="B44" s="17" t="n">
        <v>386</v>
      </c>
      <c r="C44" s="17" t="n">
        <v>442</v>
      </c>
      <c r="D44" s="18" t="n">
        <f aca="false">C44-B44</f>
        <v>56</v>
      </c>
      <c r="E44" s="15" t="n">
        <f aca="false">D44/B44*100</f>
        <v>14.5077720207254</v>
      </c>
    </row>
    <row r="45" customFormat="false" ht="15" hidden="false" customHeight="false" outlineLevel="0" collapsed="false">
      <c r="A45" s="14" t="s">
        <v>178</v>
      </c>
      <c r="B45" s="17" t="n">
        <v>47</v>
      </c>
      <c r="C45" s="17" t="n">
        <v>101</v>
      </c>
      <c r="D45" s="18" t="n">
        <f aca="false">C45-B45</f>
        <v>54</v>
      </c>
      <c r="E45" s="15" t="n">
        <f aca="false">D45/B45*100</f>
        <v>114.893617021277</v>
      </c>
    </row>
    <row r="46" customFormat="false" ht="15" hidden="false" customHeight="false" outlineLevel="0" collapsed="false">
      <c r="A46" s="14" t="s">
        <v>179</v>
      </c>
      <c r="B46" s="17" t="n">
        <v>52</v>
      </c>
      <c r="C46" s="17" t="n">
        <v>96</v>
      </c>
      <c r="D46" s="18" t="n">
        <f aca="false">C46-B46</f>
        <v>44</v>
      </c>
      <c r="E46" s="15" t="n">
        <f aca="false">D46/B46*100</f>
        <v>84.6153846153846</v>
      </c>
    </row>
    <row r="47" customFormat="false" ht="15" hidden="false" customHeight="false" outlineLevel="0" collapsed="false">
      <c r="A47" s="14" t="s">
        <v>180</v>
      </c>
      <c r="B47" s="17" t="n">
        <v>99</v>
      </c>
      <c r="C47" s="17" t="n">
        <v>138</v>
      </c>
      <c r="D47" s="18" t="n">
        <f aca="false">C47-B47</f>
        <v>39</v>
      </c>
      <c r="E47" s="15" t="n">
        <f aca="false">D47/B47*100</f>
        <v>39.3939393939394</v>
      </c>
    </row>
    <row r="48" customFormat="false" ht="15" hidden="false" customHeight="false" outlineLevel="0" collapsed="false">
      <c r="A48" s="14" t="s">
        <v>181</v>
      </c>
      <c r="B48" s="17" t="n">
        <v>62</v>
      </c>
      <c r="C48" s="17" t="n">
        <v>99</v>
      </c>
      <c r="D48" s="18" t="n">
        <f aca="false">C48-B48</f>
        <v>37</v>
      </c>
      <c r="E48" s="15" t="n">
        <f aca="false">D48/B48*100</f>
        <v>59.6774193548387</v>
      </c>
    </row>
    <row r="49" customFormat="false" ht="15" hidden="false" customHeight="false" outlineLevel="0" collapsed="false">
      <c r="A49" s="14" t="s">
        <v>182</v>
      </c>
      <c r="B49" s="17" t="n">
        <v>145</v>
      </c>
      <c r="C49" s="17" t="n">
        <v>180</v>
      </c>
      <c r="D49" s="18" t="n">
        <f aca="false">C49-B49</f>
        <v>35</v>
      </c>
      <c r="E49" s="15" t="n">
        <f aca="false">D49/B49*100</f>
        <v>24.1379310344828</v>
      </c>
    </row>
    <row r="50" customFormat="false" ht="15" hidden="false" customHeight="false" outlineLevel="0" collapsed="false">
      <c r="A50" s="14" t="s">
        <v>183</v>
      </c>
      <c r="B50" s="17" t="n">
        <v>58</v>
      </c>
      <c r="C50" s="17" t="n">
        <v>85</v>
      </c>
      <c r="D50" s="18" t="n">
        <f aca="false">C50-B50</f>
        <v>27</v>
      </c>
      <c r="E50" s="15" t="n">
        <f aca="false">D50/B50*100</f>
        <v>46.551724137931</v>
      </c>
    </row>
    <row r="51" customFormat="false" ht="15" hidden="false" customHeight="false" outlineLevel="0" collapsed="false">
      <c r="A51" s="14" t="s">
        <v>184</v>
      </c>
      <c r="B51" s="17" t="n">
        <v>538</v>
      </c>
      <c r="C51" s="17" t="n">
        <v>563</v>
      </c>
      <c r="D51" s="18" t="n">
        <f aca="false">C51-B51</f>
        <v>25</v>
      </c>
      <c r="E51" s="15" t="n">
        <f aca="false">D51/B51*100</f>
        <v>4.64684014869888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14"/>
    <col collapsed="false" customWidth="true" hidden="false" outlineLevel="0" max="5" min="5" style="0" width="16"/>
    <col collapsed="false" customWidth="true" hidden="false" outlineLevel="0" max="9" min="6" style="0" width="14"/>
  </cols>
  <sheetData>
    <row r="1" customFormat="false" ht="17.35" hidden="false" customHeight="false" outlineLevel="0" collapsed="false">
      <c r="A1" s="1" t="s">
        <v>185</v>
      </c>
    </row>
    <row r="2" customFormat="false" ht="15" hidden="false" customHeight="false" outlineLevel="0" collapsed="false">
      <c r="A2" s="2" t="s">
        <v>186</v>
      </c>
    </row>
    <row r="4" customFormat="false" ht="39.75" hidden="false" customHeight="true" outlineLevel="0" collapsed="false">
      <c r="A4" s="10" t="s">
        <v>133</v>
      </c>
      <c r="B4" s="10" t="s">
        <v>187</v>
      </c>
      <c r="C4" s="10" t="s">
        <v>188</v>
      </c>
      <c r="D4" s="10" t="s">
        <v>189</v>
      </c>
      <c r="E4" s="10" t="s">
        <v>190</v>
      </c>
      <c r="F4" s="10" t="s">
        <v>191</v>
      </c>
      <c r="G4" s="10" t="s">
        <v>192</v>
      </c>
      <c r="H4" s="10" t="s">
        <v>193</v>
      </c>
      <c r="I4" s="10" t="s">
        <v>194</v>
      </c>
    </row>
    <row r="5" customFormat="false" ht="15" hidden="false" customHeight="false" outlineLevel="0" collapsed="false">
      <c r="A5" s="14" t="s">
        <v>140</v>
      </c>
      <c r="B5" s="17" t="n">
        <v>80</v>
      </c>
      <c r="C5" s="17" t="n">
        <v>104</v>
      </c>
      <c r="D5" s="18" t="n">
        <f aca="false">B5+C5</f>
        <v>184</v>
      </c>
      <c r="E5" s="15" t="n">
        <f aca="false">C5/D5*100</f>
        <v>56.5217391304348</v>
      </c>
      <c r="F5" s="17" t="n">
        <v>50</v>
      </c>
      <c r="G5" s="17" t="n">
        <v>40</v>
      </c>
      <c r="H5" s="17" t="n">
        <v>9</v>
      </c>
      <c r="I5" s="17" t="n">
        <v>5</v>
      </c>
    </row>
    <row r="6" customFormat="false" ht="15" hidden="false" customHeight="false" outlineLevel="0" collapsed="false">
      <c r="A6" s="14" t="s">
        <v>141</v>
      </c>
      <c r="B6" s="17" t="n">
        <v>42</v>
      </c>
      <c r="C6" s="17" t="n">
        <v>78</v>
      </c>
      <c r="D6" s="18" t="n">
        <f aca="false">B6+C6</f>
        <v>120</v>
      </c>
      <c r="E6" s="15" t="n">
        <f aca="false">C6/D6*100</f>
        <v>65</v>
      </c>
      <c r="F6" s="17" t="n">
        <v>28</v>
      </c>
      <c r="G6" s="17" t="n">
        <v>39</v>
      </c>
      <c r="H6" s="17" t="n">
        <v>8</v>
      </c>
      <c r="I6" s="17" t="n">
        <v>3</v>
      </c>
    </row>
    <row r="7" customFormat="false" ht="15" hidden="false" customHeight="false" outlineLevel="0" collapsed="false">
      <c r="A7" s="14" t="s">
        <v>143</v>
      </c>
      <c r="B7" s="17" t="n">
        <v>48</v>
      </c>
      <c r="C7" s="17" t="n">
        <v>64</v>
      </c>
      <c r="D7" s="18" t="n">
        <f aca="false">B7+C7</f>
        <v>112</v>
      </c>
      <c r="E7" s="15" t="n">
        <f aca="false">C7/D7*100</f>
        <v>57.1428571428571</v>
      </c>
      <c r="F7" s="17" t="n">
        <v>30</v>
      </c>
      <c r="G7" s="17" t="n">
        <v>28</v>
      </c>
      <c r="H7" s="17" t="n">
        <v>4</v>
      </c>
      <c r="I7" s="17" t="n">
        <v>2</v>
      </c>
    </row>
    <row r="8" customFormat="false" ht="15" hidden="false" customHeight="false" outlineLevel="0" collapsed="false">
      <c r="A8" s="14" t="s">
        <v>195</v>
      </c>
      <c r="B8" s="17" t="n">
        <v>68</v>
      </c>
      <c r="C8" s="17" t="n">
        <v>58</v>
      </c>
      <c r="D8" s="18" t="n">
        <f aca="false">B8+C8</f>
        <v>126</v>
      </c>
      <c r="E8" s="15" t="n">
        <f aca="false">C8/D8*100</f>
        <v>46.031746031746</v>
      </c>
      <c r="F8" s="17" t="n">
        <v>44</v>
      </c>
      <c r="G8" s="17" t="n">
        <v>12</v>
      </c>
      <c r="H8" s="17" t="n">
        <v>2</v>
      </c>
      <c r="I8" s="17" t="n">
        <v>0</v>
      </c>
    </row>
    <row r="9" customFormat="false" ht="15" hidden="false" customHeight="false" outlineLevel="0" collapsed="false">
      <c r="A9" s="14" t="s">
        <v>142</v>
      </c>
      <c r="B9" s="17" t="n">
        <v>45</v>
      </c>
      <c r="C9" s="17" t="n">
        <v>54</v>
      </c>
      <c r="D9" s="18" t="n">
        <f aca="false">B9+C9</f>
        <v>99</v>
      </c>
      <c r="E9" s="15" t="n">
        <f aca="false">C9/D9*100</f>
        <v>54.5454545454545</v>
      </c>
      <c r="F9" s="17" t="n">
        <v>20</v>
      </c>
      <c r="G9" s="17" t="n">
        <v>22</v>
      </c>
      <c r="H9" s="17" t="n">
        <v>10</v>
      </c>
      <c r="I9" s="17" t="n">
        <v>2</v>
      </c>
    </row>
    <row r="10" customFormat="false" ht="15" hidden="false" customHeight="false" outlineLevel="0" collapsed="false">
      <c r="A10" s="14" t="s">
        <v>196</v>
      </c>
      <c r="B10" s="17" t="n">
        <v>39</v>
      </c>
      <c r="C10" s="17" t="n">
        <v>43</v>
      </c>
      <c r="D10" s="18" t="n">
        <f aca="false">B10+C10</f>
        <v>82</v>
      </c>
      <c r="E10" s="15" t="n">
        <f aca="false">C10/D10*100</f>
        <v>52.4390243902439</v>
      </c>
      <c r="F10" s="17" t="n">
        <v>38</v>
      </c>
      <c r="G10" s="17" t="n">
        <v>3</v>
      </c>
      <c r="H10" s="17" t="n">
        <v>2</v>
      </c>
      <c r="I10" s="17" t="n">
        <v>0</v>
      </c>
    </row>
    <row r="11" customFormat="false" ht="15" hidden="false" customHeight="false" outlineLevel="0" collapsed="false">
      <c r="A11" s="14" t="s">
        <v>153</v>
      </c>
      <c r="B11" s="17" t="n">
        <v>31</v>
      </c>
      <c r="C11" s="17" t="n">
        <v>38</v>
      </c>
      <c r="D11" s="18" t="n">
        <f aca="false">B11+C11</f>
        <v>69</v>
      </c>
      <c r="E11" s="15" t="n">
        <f aca="false">C11/D11*100</f>
        <v>55.0724637681159</v>
      </c>
      <c r="F11" s="17" t="n">
        <v>26</v>
      </c>
      <c r="G11" s="17" t="n">
        <v>9</v>
      </c>
      <c r="H11" s="17" t="n">
        <v>2</v>
      </c>
      <c r="I11" s="17" t="n">
        <v>1</v>
      </c>
    </row>
    <row r="12" customFormat="false" ht="15" hidden="false" customHeight="false" outlineLevel="0" collapsed="false">
      <c r="A12" s="14" t="s">
        <v>139</v>
      </c>
      <c r="B12" s="17" t="n">
        <v>20</v>
      </c>
      <c r="C12" s="17" t="n">
        <v>29</v>
      </c>
      <c r="D12" s="18" t="n">
        <f aca="false">B12+C12</f>
        <v>49</v>
      </c>
      <c r="E12" s="15" t="n">
        <f aca="false">C12/D12*100</f>
        <v>59.1836734693878</v>
      </c>
      <c r="F12" s="17" t="n">
        <v>10</v>
      </c>
      <c r="G12" s="17" t="n">
        <v>9</v>
      </c>
      <c r="H12" s="17" t="n">
        <v>5</v>
      </c>
      <c r="I12" s="17" t="n">
        <v>5</v>
      </c>
    </row>
    <row r="13" customFormat="false" ht="15" hidden="false" customHeight="false" outlineLevel="0" collapsed="false">
      <c r="A13" s="14" t="s">
        <v>151</v>
      </c>
      <c r="B13" s="17" t="n">
        <v>27</v>
      </c>
      <c r="C13" s="17" t="n">
        <v>27</v>
      </c>
      <c r="D13" s="18" t="n">
        <f aca="false">B13+C13</f>
        <v>54</v>
      </c>
      <c r="E13" s="15" t="n">
        <f aca="false">C13/D13*100</f>
        <v>50</v>
      </c>
      <c r="F13" s="17" t="n">
        <v>16</v>
      </c>
      <c r="G13" s="17" t="n">
        <v>6</v>
      </c>
      <c r="H13" s="17" t="n">
        <v>5</v>
      </c>
      <c r="I13" s="17" t="n">
        <v>0</v>
      </c>
    </row>
    <row r="14" customFormat="false" ht="15" hidden="false" customHeight="false" outlineLevel="0" collapsed="false">
      <c r="A14" s="14" t="s">
        <v>146</v>
      </c>
      <c r="B14" s="17" t="n">
        <v>11</v>
      </c>
      <c r="C14" s="17" t="n">
        <v>27</v>
      </c>
      <c r="D14" s="18" t="n">
        <f aca="false">B14+C14</f>
        <v>38</v>
      </c>
      <c r="E14" s="15" t="n">
        <f aca="false">C14/D14*100</f>
        <v>71.0526315789474</v>
      </c>
      <c r="F14" s="17" t="n">
        <v>9</v>
      </c>
      <c r="G14" s="17" t="n">
        <v>10</v>
      </c>
      <c r="H14" s="17" t="n">
        <v>4</v>
      </c>
      <c r="I14" s="17" t="n">
        <v>4</v>
      </c>
    </row>
    <row r="15" customFormat="false" ht="15" hidden="false" customHeight="false" outlineLevel="0" collapsed="false">
      <c r="A15" s="14" t="s">
        <v>144</v>
      </c>
      <c r="B15" s="17" t="n">
        <v>16</v>
      </c>
      <c r="C15" s="17" t="n">
        <v>25</v>
      </c>
      <c r="D15" s="18" t="n">
        <f aca="false">B15+C15</f>
        <v>41</v>
      </c>
      <c r="E15" s="15" t="n">
        <f aca="false">C15/D15*100</f>
        <v>60.9756097560976</v>
      </c>
      <c r="F15" s="17" t="n">
        <v>10</v>
      </c>
      <c r="G15" s="17" t="n">
        <v>9</v>
      </c>
      <c r="H15" s="17" t="n">
        <v>5</v>
      </c>
      <c r="I15" s="17" t="n">
        <v>1</v>
      </c>
    </row>
    <row r="16" customFormat="false" ht="15" hidden="false" customHeight="false" outlineLevel="0" collapsed="false">
      <c r="A16" s="14" t="s">
        <v>145</v>
      </c>
      <c r="B16" s="17" t="n">
        <v>11</v>
      </c>
      <c r="C16" s="17" t="n">
        <v>19</v>
      </c>
      <c r="D16" s="18" t="n">
        <f aca="false">B16+C16</f>
        <v>30</v>
      </c>
      <c r="E16" s="15" t="n">
        <f aca="false">C16/D16*100</f>
        <v>63.3333333333333</v>
      </c>
      <c r="F16" s="17" t="n">
        <v>6</v>
      </c>
      <c r="G16" s="17" t="n">
        <v>10</v>
      </c>
      <c r="H16" s="17" t="n">
        <v>0</v>
      </c>
      <c r="I16" s="17" t="n">
        <v>3</v>
      </c>
    </row>
    <row r="17" customFormat="false" ht="15" hidden="false" customHeight="false" outlineLevel="0" collapsed="false">
      <c r="A17" s="14" t="s">
        <v>147</v>
      </c>
      <c r="B17" s="17" t="n">
        <v>9</v>
      </c>
      <c r="C17" s="17" t="n">
        <v>14</v>
      </c>
      <c r="D17" s="18" t="n">
        <f aca="false">B17+C17</f>
        <v>23</v>
      </c>
      <c r="E17" s="15" t="n">
        <f aca="false">C17/D17*100</f>
        <v>60.8695652173913</v>
      </c>
      <c r="F17" s="17" t="n">
        <v>4</v>
      </c>
      <c r="G17" s="17" t="n">
        <v>5</v>
      </c>
      <c r="H17" s="17" t="n">
        <v>3</v>
      </c>
      <c r="I17" s="17" t="n">
        <v>2</v>
      </c>
    </row>
    <row r="18" customFormat="false" ht="15" hidden="false" customHeight="false" outlineLevel="0" collapsed="false">
      <c r="A18" s="14" t="s">
        <v>149</v>
      </c>
      <c r="B18" s="17" t="n">
        <v>11</v>
      </c>
      <c r="C18" s="17" t="n">
        <v>14</v>
      </c>
      <c r="D18" s="18" t="n">
        <f aca="false">B18+C18</f>
        <v>25</v>
      </c>
      <c r="E18" s="15" t="n">
        <f aca="false">C18/D18*100</f>
        <v>56</v>
      </c>
      <c r="F18" s="17" t="n">
        <v>6</v>
      </c>
      <c r="G18" s="17" t="n">
        <v>5</v>
      </c>
      <c r="H18" s="17" t="n">
        <v>2</v>
      </c>
      <c r="I18" s="17" t="n">
        <v>1</v>
      </c>
    </row>
    <row r="19" customFormat="false" ht="15" hidden="false" customHeight="false" outlineLevel="0" collapsed="false">
      <c r="A19" s="14" t="s">
        <v>156</v>
      </c>
      <c r="B19" s="17" t="n">
        <v>14</v>
      </c>
      <c r="C19" s="17" t="n">
        <v>11</v>
      </c>
      <c r="D19" s="18" t="n">
        <f aca="false">B19+C19</f>
        <v>25</v>
      </c>
      <c r="E19" s="15" t="n">
        <f aca="false">C19/D19*100</f>
        <v>44</v>
      </c>
      <c r="F19" s="17" t="n">
        <v>8</v>
      </c>
      <c r="G19" s="17" t="n">
        <v>2</v>
      </c>
      <c r="H19" s="17" t="n">
        <v>1</v>
      </c>
      <c r="I19" s="17" t="n">
        <v>0</v>
      </c>
    </row>
    <row r="20" customFormat="false" ht="15" hidden="false" customHeight="false" outlineLevel="0" collapsed="false">
      <c r="A20" s="14" t="s">
        <v>155</v>
      </c>
      <c r="B20" s="17" t="n">
        <v>4</v>
      </c>
      <c r="C20" s="17" t="n">
        <v>7</v>
      </c>
      <c r="D20" s="18" t="n">
        <f aca="false">B20+C20</f>
        <v>11</v>
      </c>
      <c r="E20" s="15" t="n">
        <f aca="false">C20/D20*100</f>
        <v>63.6363636363636</v>
      </c>
      <c r="F20" s="17" t="n">
        <v>5</v>
      </c>
      <c r="G20" s="17" t="n">
        <v>2</v>
      </c>
      <c r="H20" s="17" t="n">
        <v>0</v>
      </c>
      <c r="I20" s="17" t="n">
        <v>0</v>
      </c>
    </row>
    <row r="21" customFormat="false" ht="15" hidden="false" customHeight="false" outlineLevel="0" collapsed="false">
      <c r="A21" s="14" t="s">
        <v>158</v>
      </c>
      <c r="B21" s="17" t="n">
        <v>13</v>
      </c>
      <c r="C21" s="17" t="n">
        <v>6</v>
      </c>
      <c r="D21" s="18" t="n">
        <f aca="false">B21+C21</f>
        <v>19</v>
      </c>
      <c r="E21" s="15" t="n">
        <f aca="false">C21/D21*100</f>
        <v>31.5789473684211</v>
      </c>
      <c r="F21" s="17" t="n">
        <v>5</v>
      </c>
      <c r="G21" s="17" t="n">
        <v>1</v>
      </c>
      <c r="H21" s="17" t="n">
        <v>0</v>
      </c>
      <c r="I21" s="17" t="n">
        <v>0</v>
      </c>
    </row>
    <row r="22" customFormat="false" ht="15" hidden="false" customHeight="false" outlineLevel="0" collapsed="false">
      <c r="A22" s="14" t="s">
        <v>159</v>
      </c>
      <c r="B22" s="17" t="n">
        <v>3</v>
      </c>
      <c r="C22" s="17" t="n">
        <v>4</v>
      </c>
      <c r="D22" s="18" t="n">
        <f aca="false">B22+C22</f>
        <v>7</v>
      </c>
      <c r="E22" s="15" t="n">
        <f aca="false">C22/D22*100</f>
        <v>57.1428571428571</v>
      </c>
      <c r="F22" s="17" t="n">
        <v>0</v>
      </c>
      <c r="G22" s="17" t="n">
        <v>4</v>
      </c>
      <c r="H22" s="17" t="n">
        <v>0</v>
      </c>
      <c r="I22" s="17" t="n">
        <v>0</v>
      </c>
    </row>
    <row r="23" customFormat="false" ht="15" hidden="false" customHeight="false" outlineLevel="0" collapsed="false">
      <c r="A23" s="14" t="s">
        <v>152</v>
      </c>
      <c r="B23" s="17" t="n">
        <v>3</v>
      </c>
      <c r="C23" s="17" t="n">
        <v>3</v>
      </c>
      <c r="D23" s="18" t="n">
        <f aca="false">B23+C23</f>
        <v>6</v>
      </c>
      <c r="E23" s="15" t="n">
        <f aca="false">C23/D23*100</f>
        <v>50</v>
      </c>
      <c r="F23" s="17" t="n">
        <v>0</v>
      </c>
      <c r="G23" s="17" t="n">
        <v>1</v>
      </c>
      <c r="H23" s="17" t="n">
        <v>0</v>
      </c>
      <c r="I23" s="17" t="n">
        <v>2</v>
      </c>
    </row>
    <row r="24" customFormat="false" ht="15" hidden="false" customHeight="false" outlineLevel="0" collapsed="false">
      <c r="A24" s="14" t="s">
        <v>154</v>
      </c>
      <c r="B24" s="17" t="n">
        <v>4</v>
      </c>
      <c r="C24" s="17" t="n">
        <v>2</v>
      </c>
      <c r="D24" s="18" t="n">
        <f aca="false">B24+C24</f>
        <v>6</v>
      </c>
      <c r="E24" s="15" t="n">
        <f aca="false">C24/D24*100</f>
        <v>33.3333333333333</v>
      </c>
      <c r="F24" s="17" t="n">
        <v>2</v>
      </c>
      <c r="G24" s="17" t="n">
        <v>0</v>
      </c>
      <c r="H24" s="17" t="n">
        <v>0</v>
      </c>
      <c r="I24" s="17" t="n">
        <v>0</v>
      </c>
    </row>
    <row r="25" customFormat="false" ht="15" hidden="false" customHeight="false" outlineLevel="0" collapsed="false">
      <c r="A25" s="14" t="s">
        <v>157</v>
      </c>
      <c r="B25" s="17" t="n">
        <v>3</v>
      </c>
      <c r="C25" s="17" t="n">
        <v>1</v>
      </c>
      <c r="D25" s="18" t="n">
        <f aca="false">B25+C25</f>
        <v>4</v>
      </c>
      <c r="E25" s="15" t="n">
        <f aca="false">C25/D25*100</f>
        <v>25</v>
      </c>
      <c r="F25" s="17" t="n">
        <v>1</v>
      </c>
      <c r="G25" s="17" t="n">
        <v>0</v>
      </c>
      <c r="H25" s="17" t="n">
        <v>0</v>
      </c>
      <c r="I25" s="17" t="n">
        <v>0</v>
      </c>
    </row>
    <row r="26" customFormat="false" ht="15" hidden="false" customHeight="false" outlineLevel="0" collapsed="false">
      <c r="A26" s="6" t="s">
        <v>160</v>
      </c>
      <c r="B26" s="20" t="n">
        <f aca="false">SUM(B5:B25)</f>
        <v>502</v>
      </c>
      <c r="C26" s="20" t="n">
        <f aca="false">SUM(C5:C25)</f>
        <v>628</v>
      </c>
      <c r="D26" s="20" t="n">
        <f aca="false">SUM(D5:D25)</f>
        <v>1130</v>
      </c>
      <c r="E26" s="21" t="n">
        <f aca="false">C26/D26*100</f>
        <v>55.5752212389381</v>
      </c>
      <c r="F26" s="20" t="n">
        <f aca="false">SUM(F5:F25)</f>
        <v>318</v>
      </c>
      <c r="G26" s="20" t="n">
        <f aca="false">SUM(G5:G25)</f>
        <v>217</v>
      </c>
      <c r="H26" s="20" t="n">
        <f aca="false">SUM(H5:H25)</f>
        <v>62</v>
      </c>
      <c r="I26" s="20" t="n">
        <f aca="false">SUM(I5:I25)</f>
        <v>31</v>
      </c>
    </row>
    <row r="27" customFormat="false" ht="15" hidden="false" customHeight="false" outlineLevel="0" collapsed="false">
      <c r="A27" s="2"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14"/>
    <col collapsed="false" customWidth="true" hidden="false" outlineLevel="0" max="5" min="5" style="0" width="26"/>
    <col collapsed="false" customWidth="true" hidden="false" outlineLevel="0" max="6" min="6" style="0" width="20"/>
    <col collapsed="false" customWidth="true" hidden="false" outlineLevel="0" max="7" min="7" style="0" width="28"/>
  </cols>
  <sheetData>
    <row r="1" customFormat="false" ht="17.35" hidden="false" customHeight="false" outlineLevel="0" collapsed="false">
      <c r="A1" s="1" t="s">
        <v>198</v>
      </c>
    </row>
    <row r="2" customFormat="false" ht="15" hidden="false" customHeight="false" outlineLevel="0" collapsed="false">
      <c r="A2" s="2" t="s">
        <v>199</v>
      </c>
    </row>
    <row r="4" customFormat="false" ht="39.75" hidden="false" customHeight="true" outlineLevel="0" collapsed="false">
      <c r="A4" s="10" t="s">
        <v>57</v>
      </c>
      <c r="B4" s="10" t="s">
        <v>200</v>
      </c>
      <c r="C4" s="10" t="s">
        <v>201</v>
      </c>
      <c r="D4" s="10" t="s">
        <v>202</v>
      </c>
      <c r="E4" s="10" t="s">
        <v>203</v>
      </c>
      <c r="F4" s="10" t="s">
        <v>204</v>
      </c>
      <c r="G4" s="10" t="s">
        <v>205</v>
      </c>
    </row>
    <row r="5" customFormat="false" ht="15" hidden="false" customHeight="false" outlineLevel="0" collapsed="false">
      <c r="A5" s="11" t="n">
        <v>2016</v>
      </c>
      <c r="B5" s="17" t="n">
        <v>12222</v>
      </c>
      <c r="C5" s="17" t="n">
        <v>25029</v>
      </c>
      <c r="D5" s="18" t="n">
        <f aca="false">B5+C5</f>
        <v>37251</v>
      </c>
      <c r="E5" s="14" t="s">
        <v>64</v>
      </c>
      <c r="F5" s="14" t="s">
        <v>64</v>
      </c>
      <c r="G5" s="14" t="s">
        <v>64</v>
      </c>
    </row>
    <row r="6" customFormat="false" ht="15" hidden="false" customHeight="false" outlineLevel="0" collapsed="false">
      <c r="A6" s="11" t="n">
        <v>2017</v>
      </c>
      <c r="B6" s="17" t="n">
        <v>12896</v>
      </c>
      <c r="C6" s="17" t="n">
        <v>26082</v>
      </c>
      <c r="D6" s="18" t="n">
        <f aca="false">B6+C6</f>
        <v>38978</v>
      </c>
      <c r="E6" s="18" t="n">
        <f aca="false">B6-B5</f>
        <v>674</v>
      </c>
      <c r="F6" s="15" t="n">
        <f aca="false">(B6-B5)/B5*100</f>
        <v>5.51464572083129</v>
      </c>
      <c r="G6" s="18" t="n">
        <f aca="false">C6-C5</f>
        <v>1053</v>
      </c>
    </row>
    <row r="7" customFormat="false" ht="15" hidden="false" customHeight="false" outlineLevel="0" collapsed="false">
      <c r="A7" s="11" t="n">
        <v>2018</v>
      </c>
      <c r="B7" s="17" t="n">
        <v>13207</v>
      </c>
      <c r="C7" s="17" t="n">
        <v>27544</v>
      </c>
      <c r="D7" s="18" t="n">
        <f aca="false">B7+C7</f>
        <v>40751</v>
      </c>
      <c r="E7" s="18" t="n">
        <f aca="false">B7-B6</f>
        <v>311</v>
      </c>
      <c r="F7" s="15" t="n">
        <f aca="false">(B7-B6)/B6*100</f>
        <v>2.41160049627792</v>
      </c>
      <c r="G7" s="18" t="n">
        <f aca="false">C7-C6</f>
        <v>1462</v>
      </c>
    </row>
    <row r="8" customFormat="false" ht="15" hidden="false" customHeight="false" outlineLevel="0" collapsed="false">
      <c r="A8" s="11" t="n">
        <v>2019</v>
      </c>
      <c r="B8" s="17" t="n">
        <v>13641</v>
      </c>
      <c r="C8" s="17" t="n">
        <v>28153</v>
      </c>
      <c r="D8" s="18" t="n">
        <f aca="false">B8+C8</f>
        <v>41794</v>
      </c>
      <c r="E8" s="18" t="n">
        <f aca="false">B8-B7</f>
        <v>434</v>
      </c>
      <c r="F8" s="15" t="n">
        <f aca="false">(B8-B7)/B7*100</f>
        <v>3.2861361399258</v>
      </c>
      <c r="G8" s="18" t="n">
        <f aca="false">C8-C7</f>
        <v>609</v>
      </c>
    </row>
    <row r="9" customFormat="false" ht="15" hidden="false" customHeight="false" outlineLevel="0" collapsed="false">
      <c r="A9" s="11" t="n">
        <v>2020</v>
      </c>
      <c r="B9" s="17" t="n">
        <v>13806</v>
      </c>
      <c r="C9" s="17" t="n">
        <v>27665</v>
      </c>
      <c r="D9" s="18" t="n">
        <f aca="false">B9+C9</f>
        <v>41471</v>
      </c>
      <c r="E9" s="18" t="n">
        <f aca="false">B9-B8</f>
        <v>165</v>
      </c>
      <c r="F9" s="15" t="n">
        <f aca="false">(B9-B8)/B8*100</f>
        <v>1.20958873982846</v>
      </c>
      <c r="G9" s="18" t="n">
        <f aca="false">C9-C8</f>
        <v>-488</v>
      </c>
    </row>
    <row r="10" customFormat="false" ht="15" hidden="false" customHeight="false" outlineLevel="0" collapsed="false">
      <c r="A10" s="11" t="n">
        <v>2021</v>
      </c>
      <c r="B10" s="17" t="n">
        <v>13418</v>
      </c>
      <c r="C10" s="17" t="n">
        <v>28910</v>
      </c>
      <c r="D10" s="18" t="n">
        <f aca="false">B10+C10</f>
        <v>42328</v>
      </c>
      <c r="E10" s="18" t="n">
        <f aca="false">B10-B9</f>
        <v>-388</v>
      </c>
      <c r="F10" s="15" t="n">
        <f aca="false">(B10-B9)/B9*100</f>
        <v>-2.81037230189773</v>
      </c>
      <c r="G10" s="18" t="n">
        <f aca="false">C10-C9</f>
        <v>1245</v>
      </c>
    </row>
    <row r="11" customFormat="false" ht="15" hidden="false" customHeight="false" outlineLevel="0" collapsed="false">
      <c r="A11" s="11" t="n">
        <v>2022</v>
      </c>
      <c r="B11" s="17" t="n">
        <v>13850</v>
      </c>
      <c r="C11" s="17" t="n">
        <v>29513</v>
      </c>
      <c r="D11" s="18" t="n">
        <f aca="false">B11+C11</f>
        <v>43363</v>
      </c>
      <c r="E11" s="18" t="n">
        <f aca="false">B11-B10</f>
        <v>432</v>
      </c>
      <c r="F11" s="15" t="n">
        <f aca="false">(B11-B10)/B10*100</f>
        <v>3.21955582053957</v>
      </c>
      <c r="G11" s="18" t="n">
        <f aca="false">C11-C10</f>
        <v>603</v>
      </c>
    </row>
    <row r="12" customFormat="false" ht="15" hidden="false" customHeight="false" outlineLevel="0" collapsed="false">
      <c r="A12" s="2"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2"/>
    <col collapsed="false" customWidth="true" hidden="false" outlineLevel="0" max="5" min="3" style="0" width="26"/>
  </cols>
  <sheetData>
    <row r="1" customFormat="false" ht="17.35" hidden="false" customHeight="false" outlineLevel="0" collapsed="false">
      <c r="A1" s="1" t="s">
        <v>207</v>
      </c>
    </row>
    <row r="2" customFormat="false" ht="15" hidden="false" customHeight="false" outlineLevel="0" collapsed="false">
      <c r="A2" s="2" t="s">
        <v>208</v>
      </c>
    </row>
    <row r="4" customFormat="false" ht="39.75" hidden="false" customHeight="true" outlineLevel="0" collapsed="false">
      <c r="A4" s="10" t="s">
        <v>209</v>
      </c>
      <c r="B4" s="10" t="s">
        <v>210</v>
      </c>
      <c r="C4" s="10" t="s">
        <v>211</v>
      </c>
      <c r="D4" s="10" t="s">
        <v>212</v>
      </c>
      <c r="E4" s="10" t="s">
        <v>213</v>
      </c>
    </row>
    <row r="5" customFormat="false" ht="15" hidden="false" customHeight="false" outlineLevel="0" collapsed="false">
      <c r="A5" s="14" t="s">
        <v>214</v>
      </c>
      <c r="B5" s="17" t="n">
        <v>7</v>
      </c>
      <c r="C5" s="17" t="n">
        <v>2404</v>
      </c>
      <c r="D5" s="18" t="n">
        <f aca="false">C5/B5</f>
        <v>343.428571428571</v>
      </c>
      <c r="E5" s="22" t="n">
        <f aca="false">C5/C$15*100</f>
        <v>37.1044914338633</v>
      </c>
    </row>
    <row r="6" customFormat="false" ht="15" hidden="false" customHeight="false" outlineLevel="0" collapsed="false">
      <c r="A6" s="14" t="s">
        <v>215</v>
      </c>
      <c r="B6" s="17" t="n">
        <v>7</v>
      </c>
      <c r="C6" s="17" t="n">
        <v>1137</v>
      </c>
      <c r="D6" s="18" t="n">
        <f aca="false">C6/B6</f>
        <v>162.428571428571</v>
      </c>
      <c r="E6" s="22" t="n">
        <f aca="false">C6/C$15*100</f>
        <v>17.5490044759994</v>
      </c>
    </row>
    <row r="7" customFormat="false" ht="15" hidden="false" customHeight="false" outlineLevel="0" collapsed="false">
      <c r="A7" s="14" t="s">
        <v>216</v>
      </c>
      <c r="B7" s="17" t="n">
        <v>3</v>
      </c>
      <c r="C7" s="17" t="n">
        <v>636</v>
      </c>
      <c r="D7" s="18" t="n">
        <f aca="false">C7/B7</f>
        <v>212</v>
      </c>
      <c r="E7" s="22" t="n">
        <f aca="false">C7/C$15*100</f>
        <v>9.81632968050625</v>
      </c>
    </row>
    <row r="8" customFormat="false" ht="15" hidden="false" customHeight="false" outlineLevel="0" collapsed="false">
      <c r="A8" s="14" t="s">
        <v>217</v>
      </c>
      <c r="B8" s="17" t="n">
        <v>4</v>
      </c>
      <c r="C8" s="17" t="n">
        <v>589</v>
      </c>
      <c r="D8" s="18" t="n">
        <f aca="false">C8/B8</f>
        <v>147.25</v>
      </c>
      <c r="E8" s="22" t="n">
        <f aca="false">C8/C$15*100</f>
        <v>9.09090909090909</v>
      </c>
    </row>
    <row r="9" customFormat="false" ht="15" hidden="false" customHeight="false" outlineLevel="0" collapsed="false">
      <c r="A9" s="14" t="s">
        <v>218</v>
      </c>
      <c r="B9" s="17" t="n">
        <v>2</v>
      </c>
      <c r="C9" s="17" t="n">
        <v>480</v>
      </c>
      <c r="D9" s="18" t="n">
        <f aca="false">C9/B9</f>
        <v>240</v>
      </c>
      <c r="E9" s="22" t="n">
        <f aca="false">C9/C$15*100</f>
        <v>7.40855070226887</v>
      </c>
    </row>
    <row r="10" customFormat="false" ht="15" hidden="false" customHeight="false" outlineLevel="0" collapsed="false">
      <c r="A10" s="14" t="s">
        <v>219</v>
      </c>
      <c r="B10" s="17" t="n">
        <v>1</v>
      </c>
      <c r="C10" s="17" t="n">
        <v>420</v>
      </c>
      <c r="D10" s="18" t="n">
        <f aca="false">C10/B10</f>
        <v>420</v>
      </c>
      <c r="E10" s="22" t="n">
        <f aca="false">C10/C$15*100</f>
        <v>6.48248186448526</v>
      </c>
    </row>
    <row r="11" customFormat="false" ht="15" hidden="false" customHeight="false" outlineLevel="0" collapsed="false">
      <c r="A11" s="14" t="s">
        <v>220</v>
      </c>
      <c r="B11" s="17" t="n">
        <v>2</v>
      </c>
      <c r="C11" s="17" t="n">
        <v>322</v>
      </c>
      <c r="D11" s="18" t="n">
        <f aca="false">C11/B11</f>
        <v>161</v>
      </c>
      <c r="E11" s="22" t="n">
        <f aca="false">C11/C$15*100</f>
        <v>4.96990276277203</v>
      </c>
    </row>
    <row r="12" customFormat="false" ht="15" hidden="false" customHeight="false" outlineLevel="0" collapsed="false">
      <c r="A12" s="14" t="s">
        <v>221</v>
      </c>
      <c r="B12" s="17" t="n">
        <v>2</v>
      </c>
      <c r="C12" s="17" t="n">
        <v>248</v>
      </c>
      <c r="D12" s="18" t="n">
        <f aca="false">C12/B12</f>
        <v>124</v>
      </c>
      <c r="E12" s="22" t="n">
        <f aca="false">C12/C$15*100</f>
        <v>3.82775119617225</v>
      </c>
    </row>
    <row r="13" customFormat="false" ht="15" hidden="false" customHeight="false" outlineLevel="0" collapsed="false">
      <c r="A13" s="14" t="s">
        <v>222</v>
      </c>
      <c r="B13" s="17" t="n">
        <v>1</v>
      </c>
      <c r="C13" s="17" t="n">
        <v>105</v>
      </c>
      <c r="D13" s="18" t="n">
        <f aca="false">C13/B13</f>
        <v>105</v>
      </c>
      <c r="E13" s="22" t="n">
        <f aca="false">C13/C$15*100</f>
        <v>1.62062046612131</v>
      </c>
    </row>
    <row r="14" customFormat="false" ht="15" hidden="false" customHeight="false" outlineLevel="0" collapsed="false">
      <c r="A14" s="14" t="s">
        <v>223</v>
      </c>
      <c r="B14" s="17" t="n">
        <v>1</v>
      </c>
      <c r="C14" s="17" t="n">
        <v>138</v>
      </c>
      <c r="D14" s="18" t="n">
        <f aca="false">C14/B14</f>
        <v>138</v>
      </c>
      <c r="E14" s="22" t="n">
        <f aca="false">C14/C$15*100</f>
        <v>2.1299583269023</v>
      </c>
    </row>
    <row r="15" customFormat="false" ht="15" hidden="false" customHeight="false" outlineLevel="0" collapsed="false">
      <c r="A15" s="6" t="s">
        <v>202</v>
      </c>
      <c r="B15" s="20" t="n">
        <f aca="false">SUM(B5:B14)</f>
        <v>30</v>
      </c>
      <c r="C15" s="20" t="n">
        <f aca="false">SUM(C5:C14)</f>
        <v>6479</v>
      </c>
    </row>
    <row r="16" customFormat="false" ht="15" hidden="false" customHeight="false" outlineLevel="0" collapsed="false">
      <c r="A16" s="2" t="s">
        <v>224</v>
      </c>
    </row>
    <row r="17" customFormat="false" ht="15" hidden="false" customHeight="false" outlineLevel="0" collapsed="false">
      <c r="A17" s="2" t="s">
        <v>225</v>
      </c>
    </row>
    <row r="18" customFormat="false" ht="15" hidden="false" customHeight="false" outlineLevel="0" collapsed="false">
      <c r="A18" s="2"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24"/>
    <col collapsed="false" customWidth="true" hidden="false" outlineLevel="0" max="4" min="3" style="0" width="18"/>
    <col collapsed="false" customWidth="true" hidden="false" outlineLevel="0" max="5" min="5" style="0" width="52"/>
  </cols>
  <sheetData>
    <row r="1" customFormat="false" ht="17.35" hidden="false" customHeight="false" outlineLevel="0" collapsed="false">
      <c r="A1" s="1" t="s">
        <v>227</v>
      </c>
    </row>
    <row r="2" customFormat="false" ht="15" hidden="false" customHeight="false" outlineLevel="0" collapsed="false">
      <c r="A2" s="2" t="s">
        <v>228</v>
      </c>
    </row>
    <row r="4" customFormat="false" ht="31.5" hidden="false" customHeight="true" outlineLevel="0" collapsed="false">
      <c r="A4" s="10" t="s">
        <v>229</v>
      </c>
      <c r="B4" s="10" t="s">
        <v>115</v>
      </c>
      <c r="C4" s="10" t="s">
        <v>113</v>
      </c>
      <c r="D4" s="10" t="s">
        <v>101</v>
      </c>
      <c r="E4" s="10" t="s">
        <v>230</v>
      </c>
    </row>
    <row r="5" customFormat="false" ht="15" hidden="false" customHeight="false" outlineLevel="0" collapsed="false">
      <c r="A5" s="14" t="s">
        <v>231</v>
      </c>
      <c r="B5" s="12" t="n">
        <v>550</v>
      </c>
      <c r="C5" s="12" t="n">
        <v>510</v>
      </c>
      <c r="D5" s="12" t="n">
        <v>303</v>
      </c>
      <c r="E5" s="14" t="s">
        <v>232</v>
      </c>
    </row>
    <row r="6" customFormat="false" ht="15" hidden="false" customHeight="false" outlineLevel="0" collapsed="false">
      <c r="A6" s="14" t="s">
        <v>233</v>
      </c>
      <c r="B6" s="12" t="n">
        <v>21140.5</v>
      </c>
      <c r="C6" s="12" t="n">
        <v>12314</v>
      </c>
      <c r="D6" s="12" t="n">
        <v>4135.5</v>
      </c>
      <c r="E6" s="14" t="s">
        <v>234</v>
      </c>
    </row>
    <row r="7" customFormat="false" ht="15" hidden="false" customHeight="false" outlineLevel="0" collapsed="false">
      <c r="A7" s="14" t="s">
        <v>235</v>
      </c>
      <c r="B7" s="12" t="n">
        <v>27278</v>
      </c>
      <c r="C7" s="12" t="n">
        <v>27666</v>
      </c>
      <c r="D7" s="14" t="s">
        <v>64</v>
      </c>
      <c r="E7" s="14" t="s">
        <v>236</v>
      </c>
    </row>
    <row r="8" customFormat="false" ht="15" hidden="false" customHeight="false" outlineLevel="0" collapsed="false">
      <c r="A8" s="14" t="s">
        <v>237</v>
      </c>
      <c r="B8" s="12" t="n">
        <v>15.4</v>
      </c>
      <c r="C8" s="12" t="n">
        <v>25.4</v>
      </c>
      <c r="D8" s="12" t="n">
        <v>9.8</v>
      </c>
      <c r="E8" s="14" t="s">
        <v>238</v>
      </c>
    </row>
    <row r="9" customFormat="false" ht="15" hidden="false" customHeight="false" outlineLevel="0" collapsed="false">
      <c r="A9" s="14" t="s">
        <v>239</v>
      </c>
      <c r="B9" s="12" t="n">
        <v>18.5</v>
      </c>
      <c r="C9" s="12" t="n">
        <v>26.8</v>
      </c>
      <c r="D9" s="12" t="n">
        <v>10</v>
      </c>
      <c r="E9" s="14" t="s">
        <v>240</v>
      </c>
    </row>
    <row r="10" customFormat="false" ht="15" hidden="false" customHeight="false" outlineLevel="0" collapsed="false">
      <c r="A10" s="14" t="s">
        <v>241</v>
      </c>
      <c r="B10" s="13" t="n">
        <f aca="false">B9-B8</f>
        <v>3.1</v>
      </c>
      <c r="C10" s="13" t="n">
        <f aca="false">C9-C8</f>
        <v>1.4</v>
      </c>
      <c r="D10" s="13" t="n">
        <f aca="false">D9-D8</f>
        <v>0.199999999999999</v>
      </c>
      <c r="E10" s="14" t="s">
        <v>242</v>
      </c>
    </row>
    <row r="11" customFormat="false" ht="15" hidden="false" customHeight="false" outlineLevel="0" collapsed="false">
      <c r="A11" s="14" t="s">
        <v>243</v>
      </c>
      <c r="B11" s="13" t="n">
        <f aca="false">B10/B8*100</f>
        <v>20.1298701298701</v>
      </c>
      <c r="C11" s="13" t="n">
        <f aca="false">C10/C8*100</f>
        <v>5.51181102362206</v>
      </c>
      <c r="D11" s="13" t="n">
        <f aca="false">D10/D8*100</f>
        <v>2.0408163265306</v>
      </c>
      <c r="E11" s="14" t="s">
        <v>242</v>
      </c>
    </row>
    <row r="12" customFormat="false" ht="15" hidden="false" customHeight="false" outlineLevel="0" collapsed="false">
      <c r="A12" s="14" t="s">
        <v>105</v>
      </c>
      <c r="B12" s="12" t="n">
        <v>-34.6</v>
      </c>
      <c r="C12" s="12" t="n">
        <v>-8</v>
      </c>
      <c r="D12" s="12" t="n">
        <v>1.1</v>
      </c>
      <c r="E12" s="14" t="s">
        <v>244</v>
      </c>
    </row>
    <row r="13" customFormat="false" ht="15" hidden="false" customHeight="false" outlineLevel="0" collapsed="false">
      <c r="A13" s="14" t="s">
        <v>245</v>
      </c>
      <c r="B13" s="12" t="n">
        <v>-32.5</v>
      </c>
      <c r="C13" s="12" t="n">
        <v>-6.9</v>
      </c>
      <c r="D13" s="12" t="n">
        <v>-5.3</v>
      </c>
      <c r="E13" s="14" t="s">
        <v>246</v>
      </c>
    </row>
    <row r="14" customFormat="false" ht="15" hidden="false" customHeight="false" outlineLevel="0" collapsed="false">
      <c r="A14" s="14" t="s">
        <v>247</v>
      </c>
      <c r="B14" s="12" t="n">
        <v>34</v>
      </c>
      <c r="C14" s="14" t="s">
        <v>64</v>
      </c>
      <c r="D14" s="12" t="n">
        <v>9</v>
      </c>
      <c r="E14" s="14" t="s">
        <v>248</v>
      </c>
    </row>
    <row r="16" customFormat="false" ht="48" hidden="false" customHeight="true" outlineLevel="0" collapsed="false">
      <c r="A16" s="9" t="s">
        <v>249</v>
      </c>
      <c r="B16" s="9"/>
      <c r="C16" s="9"/>
      <c r="D16" s="9"/>
      <c r="E16" s="9"/>
    </row>
  </sheetData>
  <mergeCells count="1">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2026-10-30T01:23:53Z</dcterms:created>
  <dc:creator>openpyxl</dc:creator>
  <dc:description/>
  <dc:language>en-US</dc:language>
  <cp:lastModifiedBy/>
  <dcterms:modified xsi:type="dcterms:W3CDTF">2026-10-30T01:23:53Z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